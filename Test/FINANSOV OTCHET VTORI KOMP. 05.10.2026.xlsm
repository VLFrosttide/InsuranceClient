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0980" windowHeight="6765"/>
  </bookViews>
  <sheets>
    <sheet name="Sheet1" sheetId="1" r:id="rId1"/>
    <sheet name="Razhodi" sheetId="3" r:id="rId2"/>
    <sheet name="Support" sheetId="2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7" i="1" l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A85" i="1"/>
  <c r="A86" i="1"/>
  <c r="A87" i="1"/>
  <c r="A88" i="1"/>
  <c r="A89" i="1"/>
  <c r="A90" i="1"/>
  <c r="A91" i="1"/>
  <c r="A92" i="1"/>
  <c r="A93" i="1"/>
  <c r="A94" i="1"/>
  <c r="G85" i="1"/>
  <c r="G86" i="1"/>
  <c r="G87" i="1"/>
  <c r="G88" i="1"/>
  <c r="G89" i="1"/>
  <c r="G90" i="1"/>
  <c r="G91" i="1"/>
  <c r="G92" i="1"/>
  <c r="G93" i="1"/>
  <c r="G94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A53" i="1"/>
  <c r="A54" i="1"/>
  <c r="A55" i="1"/>
  <c r="A56" i="1"/>
  <c r="A57" i="1"/>
  <c r="A58" i="1"/>
  <c r="A59" i="1"/>
  <c r="A60" i="1"/>
  <c r="A61" i="1"/>
  <c r="A62" i="1"/>
  <c r="A63" i="1"/>
  <c r="A64" i="1"/>
  <c r="G53" i="1"/>
  <c r="G54" i="1"/>
  <c r="G55" i="1"/>
  <c r="G56" i="1"/>
  <c r="G57" i="1"/>
  <c r="G58" i="1"/>
  <c r="G59" i="1"/>
  <c r="G60" i="1"/>
  <c r="G61" i="1"/>
  <c r="G62" i="1"/>
  <c r="G63" i="1"/>
  <c r="G64" i="1"/>
  <c r="J113" i="1" l="1"/>
  <c r="M112" i="1"/>
  <c r="L112" i="1"/>
  <c r="K112" i="1"/>
  <c r="J112" i="1"/>
  <c r="H111" i="1"/>
  <c r="N105" i="1"/>
  <c r="N111" i="1" s="1"/>
  <c r="N114" i="1" s="1"/>
  <c r="M105" i="1"/>
  <c r="M111" i="1" s="1"/>
  <c r="M114" i="1" s="1"/>
  <c r="M118" i="1" s="1" a="1"/>
  <c r="M118" i="1" s="1"/>
  <c r="L105" i="1"/>
  <c r="L111" i="1" s="1"/>
  <c r="K105" i="1"/>
  <c r="K111" i="1" s="1"/>
  <c r="J105" i="1"/>
  <c r="J111" i="1" s="1"/>
  <c r="J114" i="1" s="1"/>
  <c r="I105" i="1"/>
  <c r="I111" i="1" s="1"/>
  <c r="I114" i="1" s="1"/>
  <c r="B105" i="1"/>
  <c r="G104" i="1"/>
  <c r="A104" i="1"/>
  <c r="G103" i="1"/>
  <c r="A103" i="1"/>
  <c r="G102" i="1"/>
  <c r="A102" i="1"/>
  <c r="G101" i="1"/>
  <c r="A101" i="1"/>
  <c r="G100" i="1"/>
  <c r="A100" i="1"/>
  <c r="G99" i="1"/>
  <c r="A99" i="1"/>
  <c r="G98" i="1"/>
  <c r="A98" i="1"/>
  <c r="G97" i="1"/>
  <c r="A97" i="1"/>
  <c r="G96" i="1"/>
  <c r="A96" i="1"/>
  <c r="G95" i="1"/>
  <c r="A95" i="1"/>
  <c r="G66" i="1"/>
  <c r="A66" i="1"/>
  <c r="G65" i="1"/>
  <c r="A65" i="1"/>
  <c r="G28" i="1"/>
  <c r="A28" i="1"/>
  <c r="G27" i="1"/>
  <c r="A27" i="1"/>
  <c r="G26" i="1"/>
  <c r="A26" i="1"/>
  <c r="G25" i="1"/>
  <c r="A25" i="1"/>
  <c r="G24" i="1"/>
  <c r="A24" i="1"/>
  <c r="G23" i="1"/>
  <c r="A23" i="1"/>
  <c r="G22" i="1"/>
  <c r="A22" i="1"/>
  <c r="G21" i="1"/>
  <c r="A21" i="1"/>
  <c r="G20" i="1"/>
  <c r="A20" i="1"/>
  <c r="G19" i="1"/>
  <c r="A19" i="1"/>
  <c r="G18" i="1"/>
  <c r="A18" i="1"/>
  <c r="G17" i="1"/>
  <c r="A17" i="1"/>
  <c r="G16" i="1"/>
  <c r="A16" i="1"/>
  <c r="G15" i="1"/>
  <c r="A15" i="1"/>
  <c r="K114" i="1" l="1"/>
  <c r="K118" i="1" s="1" a="1"/>
  <c r="K118" i="1" s="1"/>
  <c r="L114" i="1"/>
  <c r="L118" i="1" s="1" a="1"/>
  <c r="L118" i="1" s="1"/>
  <c r="J118" i="1" a="1"/>
  <c r="J118" i="1" s="1"/>
</calcChain>
</file>

<file path=xl/sharedStrings.xml><?xml version="1.0" encoding="utf-8"?>
<sst xmlns="http://schemas.openxmlformats.org/spreadsheetml/2006/main" count="375" uniqueCount="179">
  <si>
    <t>Инструкции:</t>
  </si>
  <si>
    <t>1) Добавянето на нов ред трябва да се извършва задължително през бутона "Добави нов ред"</t>
  </si>
  <si>
    <t>2) колоната  OFIS / BROKER съдържа формула, която не трябва да се изтрива. Формулата е за удобство и изважда името на брокера по неговия код.</t>
  </si>
  <si>
    <t>3) Всяка нова смяна/работен ден трябва да започва от чист файл, а не да изтрива въведеното и да пише върху него. Препоръчвам да се запази този файл като образец и всеки ден да се копира и да се попълва.</t>
  </si>
  <si>
    <t>Дата:</t>
  </si>
  <si>
    <t xml:space="preserve"> </t>
  </si>
  <si>
    <t>ДАТА</t>
  </si>
  <si>
    <t>ДКН</t>
  </si>
  <si>
    <t>№ ПОЛИЦА</t>
  </si>
  <si>
    <t>№ БЛАНКА</t>
  </si>
  <si>
    <t>СРОК</t>
  </si>
  <si>
    <t>CODE OFIS BROKER</t>
  </si>
  <si>
    <t>OFIS / BROKER2</t>
  </si>
  <si>
    <t>OTOMOBIL</t>
  </si>
  <si>
    <t>ТАРИФА</t>
  </si>
  <si>
    <t>ЕВРО</t>
  </si>
  <si>
    <t>ДОЛАР</t>
  </si>
  <si>
    <t>ЛИРИ</t>
  </si>
  <si>
    <t>ЛЕВА</t>
  </si>
  <si>
    <t>ПОСТЕРМИНАЛ</t>
  </si>
  <si>
    <t>3M</t>
  </si>
  <si>
    <t>Total</t>
  </si>
  <si>
    <t>Каса към</t>
  </si>
  <si>
    <t>EVRO</t>
  </si>
  <si>
    <t>DOLARI</t>
  </si>
  <si>
    <t>LIRI</t>
  </si>
  <si>
    <t>LEVA</t>
  </si>
  <si>
    <t>ОБЩО ЗА ДЕНЯ</t>
  </si>
  <si>
    <t>Брой застраховки</t>
  </si>
  <si>
    <t>ПОСТТЕРМИНАЛ</t>
  </si>
  <si>
    <t>Застраховки</t>
  </si>
  <si>
    <t>Разходи</t>
  </si>
  <si>
    <t>-</t>
  </si>
  <si>
    <t>Бонуси</t>
  </si>
  <si>
    <t>Крайно салдо</t>
  </si>
  <si>
    <t>DOLAR</t>
  </si>
  <si>
    <t>Osnovanie</t>
  </si>
  <si>
    <t>Брокери</t>
  </si>
  <si>
    <t>#</t>
  </si>
  <si>
    <t>Име на латиница</t>
  </si>
  <si>
    <t>Nikolay</t>
  </si>
  <si>
    <t>AHMET</t>
  </si>
  <si>
    <t>YUKSEL</t>
  </si>
  <si>
    <t>FATMA NEYZAI AVCILAR</t>
  </si>
  <si>
    <t>BURHAN</t>
  </si>
  <si>
    <t>ZEYTINBURNU</t>
  </si>
  <si>
    <t>MECNUN BURSA</t>
  </si>
  <si>
    <t>SABRIYE</t>
  </si>
  <si>
    <t>KAMURAN</t>
  </si>
  <si>
    <t>BEYSIM</t>
  </si>
  <si>
    <t>GURSEL</t>
  </si>
  <si>
    <t>NEVIN</t>
  </si>
  <si>
    <t>IZET</t>
  </si>
  <si>
    <t>NEJAT</t>
  </si>
  <si>
    <t>A.SEMSEK</t>
  </si>
  <si>
    <t>SUNAY</t>
  </si>
  <si>
    <t>EROL</t>
  </si>
  <si>
    <t>MUSTAFA</t>
  </si>
  <si>
    <t>SEMAT</t>
  </si>
  <si>
    <t>AZZIS</t>
  </si>
  <si>
    <t>SABIT</t>
  </si>
  <si>
    <t xml:space="preserve">SEVGIN </t>
  </si>
  <si>
    <t>HUSEYIN</t>
  </si>
  <si>
    <t>BALKAN TRAVEL</t>
  </si>
  <si>
    <t>MANISA</t>
  </si>
  <si>
    <t xml:space="preserve">AYSHE </t>
  </si>
  <si>
    <t>ISMAYL</t>
  </si>
  <si>
    <t>OFIS K.ANDREEVO</t>
  </si>
  <si>
    <t>MITKO</t>
  </si>
  <si>
    <t>ERCAN SEVER</t>
  </si>
  <si>
    <t>GURSEL KOYLU</t>
  </si>
  <si>
    <t>NECMI ERDAN</t>
  </si>
  <si>
    <t>RIDWAN OZTURK</t>
  </si>
  <si>
    <t>TEZCAN DENIC</t>
  </si>
  <si>
    <t>SENGUN KALE</t>
  </si>
  <si>
    <t>MUSTAFA CAKMAK</t>
  </si>
  <si>
    <t>CAZINO NIMPFES</t>
  </si>
  <si>
    <t>LESOVO</t>
  </si>
  <si>
    <t>KOCAELI</t>
  </si>
  <si>
    <t>MEHMET GENC</t>
  </si>
  <si>
    <t>SIGORTA BULGOC</t>
  </si>
  <si>
    <t>SVILENGRAD</t>
  </si>
  <si>
    <t>CASINO SOI</t>
  </si>
  <si>
    <t>VARNA</t>
  </si>
  <si>
    <t>HERMES</t>
  </si>
  <si>
    <t>KAZINO MAKAU</t>
  </si>
  <si>
    <t>YAKUP</t>
  </si>
  <si>
    <t>Term</t>
  </si>
  <si>
    <t>Type AUTO</t>
  </si>
  <si>
    <t>15D</t>
  </si>
  <si>
    <t>1M</t>
  </si>
  <si>
    <t>MOTOR</t>
  </si>
  <si>
    <t>KAMIONET</t>
  </si>
  <si>
    <t>BUS 3.5</t>
  </si>
  <si>
    <t>MOTOR-KARAVANA</t>
  </si>
  <si>
    <t>BUS 10Mesta</t>
  </si>
  <si>
    <t>BUS 9Mesta</t>
  </si>
  <si>
    <t>REMARKE</t>
  </si>
  <si>
    <t>ANULE</t>
  </si>
  <si>
    <t>05,10,2026</t>
  </si>
  <si>
    <t>59ADJ391</t>
  </si>
  <si>
    <t>16BPE339</t>
  </si>
  <si>
    <t>34PDP763</t>
  </si>
  <si>
    <t>16CMH80</t>
  </si>
  <si>
    <t>16BYM328</t>
  </si>
  <si>
    <t>59AAY414</t>
  </si>
  <si>
    <t>34RDE969</t>
  </si>
  <si>
    <t>34CSK832</t>
  </si>
  <si>
    <t>34DZ1997</t>
  </si>
  <si>
    <t>59KG525</t>
  </si>
  <si>
    <t>34ASD977</t>
  </si>
  <si>
    <t>34ES0302</t>
  </si>
  <si>
    <t>59ANC857</t>
  </si>
  <si>
    <t>34FZM294</t>
  </si>
  <si>
    <t>41AEU327</t>
  </si>
  <si>
    <t>34CFH396</t>
  </si>
  <si>
    <t>34FOL008</t>
  </si>
  <si>
    <t>16BSK267</t>
  </si>
  <si>
    <t>34RJT881</t>
  </si>
  <si>
    <t>34ERA377</t>
  </si>
  <si>
    <t>34DK9121</t>
  </si>
  <si>
    <t>59TG923</t>
  </si>
  <si>
    <t>22AEC125</t>
  </si>
  <si>
    <t>34HYY133</t>
  </si>
  <si>
    <t>34MIH959</t>
  </si>
  <si>
    <t>34HJH395</t>
  </si>
  <si>
    <t>34BYB353</t>
  </si>
  <si>
    <t>18ED990</t>
  </si>
  <si>
    <t>35DFG398</t>
  </si>
  <si>
    <t>16NIF72</t>
  </si>
  <si>
    <t>34ANF679</t>
  </si>
  <si>
    <t>34DBB534</t>
  </si>
  <si>
    <t>34BH028</t>
  </si>
  <si>
    <t>22EF611</t>
  </si>
  <si>
    <t>35HA4888</t>
  </si>
  <si>
    <t>34DYG475</t>
  </si>
  <si>
    <t>34AFS452</t>
  </si>
  <si>
    <t>34ECE338</t>
  </si>
  <si>
    <t>34LA9839</t>
  </si>
  <si>
    <t>59LD440</t>
  </si>
  <si>
    <t>34GDD301</t>
  </si>
  <si>
    <t>16BBP684</t>
  </si>
  <si>
    <t>34EJT611</t>
  </si>
  <si>
    <t>34FDA858</t>
  </si>
  <si>
    <t>34MJA933</t>
  </si>
  <si>
    <t>22AK660</t>
  </si>
  <si>
    <t>16NG002</t>
  </si>
  <si>
    <t>16BH342</t>
  </si>
  <si>
    <t>16CDT544</t>
  </si>
  <si>
    <t>34PDM243</t>
  </si>
  <si>
    <t>34AAZ460</t>
  </si>
  <si>
    <t>34CKH024</t>
  </si>
  <si>
    <t>34DDP676</t>
  </si>
  <si>
    <t>34MTL685</t>
  </si>
  <si>
    <t>16BOJ927</t>
  </si>
  <si>
    <t>59AFK398</t>
  </si>
  <si>
    <t>34FBZ468</t>
  </si>
  <si>
    <t>35CEM053</t>
  </si>
  <si>
    <t>16CVL91</t>
  </si>
  <si>
    <t>59ABD457</t>
  </si>
  <si>
    <t>59YA519</t>
  </si>
  <si>
    <t>34RV1903</t>
  </si>
  <si>
    <t>16AUJ330</t>
  </si>
  <si>
    <t>16BKS215</t>
  </si>
  <si>
    <t>16DR066</t>
  </si>
  <si>
    <t>06DRH581</t>
  </si>
  <si>
    <t>34PL7377</t>
  </si>
  <si>
    <t>22NC599</t>
  </si>
  <si>
    <t>39ADF929</t>
  </si>
  <si>
    <t>11DL866</t>
  </si>
  <si>
    <t>59APZ935</t>
  </si>
  <si>
    <t>22UF055</t>
  </si>
  <si>
    <t>34NZ900</t>
  </si>
  <si>
    <t>34LL889</t>
  </si>
  <si>
    <t>16BER187</t>
  </si>
  <si>
    <t>34HKP951</t>
  </si>
  <si>
    <t>16BHB681</t>
  </si>
  <si>
    <t>35KE3399</t>
  </si>
  <si>
    <t>22AFP489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</si>
</sst>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6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91454817346722"/>
      </right>
      <top/>
      <bottom style="thin">
        <color theme="4" tint="0.3999145481734672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3" borderId="4" applyNumberFormat="0" applyFont="0" applyAlignment="0" applyProtection="0"/>
  </cellStyleXfs>
  <cellXfs count="21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0" fontId="0" fillId="0" borderId="0" xfId="0" applyProtection="1">
      <protection locked="0"/>
    </xf>
    <xf numFmtId="0" fontId="4" fillId="3" borderId="4" xfId="1" applyFont="1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4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0" fillId="0" borderId="0" xfId="0" quotePrefix="1" applyAlignment="1" applyProtection="1">
      <alignment horizontal="center" vertical="center"/>
      <protection locked="0"/>
    </xf>
    <xf numFmtId="14" fontId="1" fillId="3" borderId="4" xfId="1" applyNumberFormat="1" applyFont="1" applyProtection="1"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center" vertical="center"/>
    </xf>
  </cellXfs>
  <cellStyles count="2">
    <cellStyle name="Бележка" xfId="1" builtinId="10"/>
    <cellStyle name="Нормален" xfId="0" builtinId="0"/>
  </cellStyles>
  <dxfs count="4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4" formatCode="dd/mm/yyyy"/>
    </dxf>
    <dxf>
      <protection locked="0"/>
    </dxf>
    <dxf>
      <protection locked="0"/>
    </dxf>
    <dxf>
      <protection locked="0"/>
    </dxf>
    <dxf>
      <protection locked="0"/>
    </dxf>
    <dxf>
      <font>
        <b/>
      </font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b/>
      </font>
      <protection locked="0"/>
    </dxf>
    <dxf>
      <numFmt numFmtId="0" formatCode="General"/>
      <protection locked="0"/>
    </dxf>
    <dxf>
      <numFmt numFmtId="0" formatCode="General"/>
      <protection locked="0"/>
    </dxf>
    <dxf>
      <numFmt numFmtId="0" formatCode="General"/>
      <protection locked="0"/>
    </dxf>
    <dxf>
      <numFmt numFmtId="0" formatCode="General"/>
      <protection locked="0"/>
    </dxf>
    <dxf>
      <numFmt numFmtId="0" formatCode="General"/>
      <protection locked="0"/>
    </dxf>
    <dxf>
      <numFmt numFmtId="0" formatCode="General"/>
      <protection locked="0"/>
    </dxf>
    <dxf>
      <numFmt numFmtId="0" formatCode="General"/>
      <protection locked="0"/>
    </dxf>
    <dxf>
      <alignment horizontal="center" vertical="center"/>
      <protection locked="0"/>
    </dxf>
    <dxf>
      <alignment horizontal="center" vertical="center"/>
      <protection locked="0"/>
    </dxf>
    <dxf>
      <alignment horizontal="center" vertical="center"/>
      <protection locked="0"/>
    </dxf>
    <dxf>
      <alignment horizontal="center" vertical="center"/>
      <protection locked="0"/>
    </dxf>
    <dxf>
      <alignment horizontal="center" vertical="center"/>
      <protection locked="0"/>
    </dxf>
    <dxf>
      <alignment horizontal="center" vertical="center"/>
      <protection locked="0"/>
    </dxf>
    <dxf>
      <protection locked="0"/>
    </dxf>
    <dxf>
      <numFmt numFmtId="0" formatCode="General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64" formatCode="dd/mm/yyyy"/>
      <protection locked="0"/>
    </dxf>
  </dxfs>
  <tableStyles count="1" defaultTableStyle="TableStyleMedium2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971550</xdr:colOff>
          <xdr:row>108</xdr:row>
          <xdr:rowOff>85725</xdr:rowOff>
        </xdr:from>
        <xdr:to>
          <xdr:col>5</xdr:col>
          <xdr:colOff>342900</xdr:colOff>
          <xdr:row>111</xdr:row>
          <xdr:rowOff>28575</xdr:rowOff>
        </xdr:to>
        <xdr:sp macro="" textlink="">
          <xdr:nvSpPr>
            <xdr:cNvPr id="1025" name="Button 1" descr="Добави нов ред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 нов ред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</xdr:row>
          <xdr:rowOff>57150</xdr:rowOff>
        </xdr:from>
        <xdr:to>
          <xdr:col>2</xdr:col>
          <xdr:colOff>466725</xdr:colOff>
          <xdr:row>11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Въведи нов ред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e1" displayName="Table1" ref="A14:N105" totalsRowCount="1">
  <autoFilter ref="A14:N104"/>
  <tableColumns count="14">
    <tableColumn id="1" name="ДАТА" totalsRowLabel="Total" dataDxfId="44" totalsRowDxfId="12">
      <calculatedColumnFormula>$B$9</calculatedColumnFormula>
    </tableColumn>
    <tableColumn id="2" name="ДКН" totalsRowFunction="count" dataDxfId="43" totalsRowDxfId="11"/>
    <tableColumn id="3" name="№ ПОЛИЦА" dataDxfId="42" totalsRowDxfId="10"/>
    <tableColumn id="4" name="№ БЛАНКА" dataDxfId="41" totalsRowDxfId="9"/>
    <tableColumn id="5" name="СРОК" dataDxfId="40" totalsRowDxfId="8"/>
    <tableColumn id="6" name="CODE OFIS BROKER" dataDxfId="39" totalsRowDxfId="7"/>
    <tableColumn id="7" name="OFIS / BROKER2" dataDxfId="38">
      <calculatedColumnFormula>IFERROR(VLOOKUP(Table1[[#This Row],[CODE OFIS BROKER]],Table3[],2,0),"")</calculatedColumnFormula>
    </tableColumn>
    <tableColumn id="8" name="OTOMOBIL" dataDxfId="37" totalsRowDxfId="6"/>
    <tableColumn id="9" name="ТАРИФА" totalsRowFunction="sum" dataDxfId="36" totalsRowDxfId="5"/>
    <tableColumn id="10" name="ЕВРО" totalsRowFunction="sum" dataDxfId="35" totalsRowDxfId="4"/>
    <tableColumn id="11" name="ДОЛАР" totalsRowFunction="sum" dataDxfId="34" totalsRowDxfId="3"/>
    <tableColumn id="12" name="ЛИРИ" totalsRowFunction="sum" dataDxfId="33" totalsRowDxfId="2"/>
    <tableColumn id="13" name="ЛЕВА" totalsRowFunction="sum" dataDxfId="32" totalsRowDxfId="1"/>
    <tableColumn id="14" name="ПОСТЕРМИНАЛ" totalsRowFunction="sum" dataDxfId="3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2" displayName="Table2" ref="G110:N114" totalsRowShown="0">
  <autoFilter ref="G110:N114"/>
  <tableColumns count="8">
    <tableColumn id="1" name="ОБЩО ЗА ДЕНЯ"/>
    <tableColumn id="2" name="Брой застраховки" dataDxfId="30"/>
    <tableColumn id="3" name="ТАРИФА" dataDxfId="29">
      <calculatedColumnFormula>SUM(I108:I109)</calculatedColumnFormula>
    </tableColumn>
    <tableColumn id="4" name="ЕВРО" dataDxfId="28">
      <calculatedColumnFormula>J108-J109-J110</calculatedColumnFormula>
    </tableColumn>
    <tableColumn id="5" name="ДОЛАР" dataDxfId="27">
      <calculatedColumnFormula>K108-K109</calculatedColumnFormula>
    </tableColumn>
    <tableColumn id="6" name="ЛИРИ" dataDxfId="26">
      <calculatedColumnFormula>L108-L109</calculatedColumnFormula>
    </tableColumn>
    <tableColumn id="7" name="ЛЕВА" dataDxfId="25">
      <calculatedColumnFormula>M108-M109</calculatedColumnFormula>
    </tableColumn>
    <tableColumn id="8" name="ПОСТТЕРМИНАЛ" dataDxfId="24">
      <calculatedColumnFormula>SUM(N108:N109)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2" name="Table4" displayName="Table4" ref="I107:M108" totalsRowShown="0">
  <autoFilter ref="I107:M108"/>
  <tableColumns count="5">
    <tableColumn id="1" name="Каса към" dataDxfId="23"/>
    <tableColumn id="2" name="EVRO" dataDxfId="22"/>
    <tableColumn id="3" name="DOLARI" dataDxfId="21"/>
    <tableColumn id="4" name="LIRI" dataDxfId="20"/>
    <tableColumn id="5" name="LEVA" dataDxfId="19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6" name="Table7" displayName="Table7" ref="I117:M118" totalsRowShown="0">
  <autoFilter ref="I117:M118"/>
  <tableColumns count="5">
    <tableColumn id="1" name="Каса към" dataDxfId="18"/>
    <tableColumn id="2" name="EVRO" dataDxfId="17">
      <calculatedColumnFormula array="1">J114+Table4[EVRO]</calculatedColumnFormula>
    </tableColumn>
    <tableColumn id="3" name="DOLARI" dataDxfId="16">
      <calculatedColumnFormula array="1">K114+Table4[DOLARI]</calculatedColumnFormula>
    </tableColumn>
    <tableColumn id="4" name="LIRI" dataDxfId="15">
      <calculatedColumnFormula array="1">L114+Table4[LIRI]</calculatedColumnFormula>
    </tableColumn>
    <tableColumn id="5" name="LEVA" dataDxfId="14">
      <calculatedColumnFormula array="1">M114+Table4[LEVA]</calculatedColumnFormula>
    </tableColumn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id="7" name="Table5" displayName="Table5" ref="A2:F7" totalsRowShown="0">
  <autoFilter ref="A2:F7"/>
  <tableColumns count="6">
    <tableColumn id="1" name="ДАТА" dataDxfId="13"/>
    <tableColumn id="2" name="EVRO"/>
    <tableColumn id="3" name="DOLAR"/>
    <tableColumn id="4" name="LIRI"/>
    <tableColumn id="5" name="LEVA"/>
    <tableColumn id="6" name="Osnovani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2:B50" totalsRowShown="0">
  <autoFilter ref="A2:B50"/>
  <tableColumns count="2">
    <tableColumn id="1" name="#"/>
    <tableColumn id="2" name="Име на латиница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able6" displayName="Table6" ref="A51:B60" totalsRowShown="0">
  <autoFilter ref="A51:B60"/>
  <tableColumns count="2">
    <tableColumn id="1" name="Term"/>
    <tableColumn id="2" name="Type AU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C124"/>
  <sheetViews>
    <sheetView tabSelected="1" topLeftCell="A79" zoomScale="110" zoomScaleNormal="110" workbookViewId="0">
      <selection activeCell="B96" sqref="B96"/>
    </sheetView>
  </sheetViews>
  <sheetFormatPr defaultColWidth="0" defaultRowHeight="15"/>
  <cols>
    <col min="1" max="1" width="16.140625" style="7" customWidth="1"/>
    <col min="2" max="2" width="13.7109375" style="7" customWidth="1"/>
    <col min="3" max="3" width="17.140625" style="7" customWidth="1"/>
    <col min="4" max="4" width="16.7109375" style="7" customWidth="1"/>
    <col min="5" max="5" width="13.7109375" style="7" customWidth="1"/>
    <col min="6" max="6" width="19.140625" style="7" customWidth="1"/>
    <col min="7" max="7" width="19.140625" customWidth="1"/>
    <col min="8" max="8" width="18.28515625" style="7" customWidth="1"/>
    <col min="9" max="9" width="13.7109375" style="7" customWidth="1"/>
    <col min="10" max="12" width="11.85546875" style="7" customWidth="1"/>
    <col min="13" max="13" width="8.85546875" style="7" customWidth="1"/>
    <col min="14" max="14" width="18.7109375" style="7" customWidth="1"/>
    <col min="15" max="15" width="0" hidden="1" customWidth="1"/>
    <col min="16" max="16383" width="8.85546875" hidden="1"/>
    <col min="16384" max="16384" width="10.42578125" hidden="1" customWidth="1"/>
  </cols>
  <sheetData>
    <row r="1" spans="1:14">
      <c r="A1" s="7" t="s">
        <v>0</v>
      </c>
      <c r="B1" s="7" t="s">
        <v>1</v>
      </c>
    </row>
    <row r="2" spans="1:14">
      <c r="B2" s="7" t="s">
        <v>2</v>
      </c>
    </row>
    <row r="3" spans="1:14">
      <c r="B3" s="7" t="s">
        <v>3</v>
      </c>
    </row>
    <row r="9" spans="1:14">
      <c r="A9" s="8" t="s">
        <v>4</v>
      </c>
      <c r="B9" s="17" t="s">
        <v>99</v>
      </c>
    </row>
    <row r="11" spans="1:14">
      <c r="F11" s="7" t="s">
        <v>5</v>
      </c>
    </row>
    <row r="14" spans="1:14">
      <c r="A14" s="9" t="s">
        <v>6</v>
      </c>
      <c r="B14" s="9" t="s">
        <v>7</v>
      </c>
      <c r="C14" s="9" t="s">
        <v>8</v>
      </c>
      <c r="D14" s="9" t="s">
        <v>9</v>
      </c>
      <c r="E14" s="9" t="s">
        <v>10</v>
      </c>
      <c r="F14" s="9" t="s">
        <v>11</v>
      </c>
      <c r="G14" s="10" t="s">
        <v>12</v>
      </c>
      <c r="H14" s="9" t="s">
        <v>13</v>
      </c>
      <c r="I14" s="9" t="s">
        <v>14</v>
      </c>
      <c r="J14" s="9" t="s">
        <v>15</v>
      </c>
      <c r="K14" s="9" t="s">
        <v>16</v>
      </c>
      <c r="L14" s="9" t="s">
        <v>17</v>
      </c>
      <c r="M14" s="9" t="s">
        <v>18</v>
      </c>
      <c r="N14" s="9" t="s">
        <v>19</v>
      </c>
    </row>
    <row r="15" spans="1:14">
      <c r="A15" s="11" t="str">
        <f t="shared" ref="A15:A104" si="0">$B$9</f>
        <v>05,10,2026</v>
      </c>
      <c r="B15" s="18" t="s">
        <v>100</v>
      </c>
      <c r="C15" s="9">
        <v>26167659</v>
      </c>
      <c r="D15" s="16">
        <v>149988</v>
      </c>
      <c r="E15" s="9" t="s">
        <v>20</v>
      </c>
      <c r="F15" s="9">
        <v>1.23</v>
      </c>
      <c r="G15" s="10" t="str">
        <f>IFERROR(VLOOKUP(Table1[[#This Row],[CODE OFIS BROKER]],Table3[],2,0),"")</f>
        <v>SABIT</v>
      </c>
      <c r="H15" s="9" t="s">
        <v>13</v>
      </c>
      <c r="I15" s="9">
        <v>0</v>
      </c>
      <c r="J15" s="9">
        <v>0</v>
      </c>
      <c r="K15" s="9"/>
      <c r="L15" s="9"/>
      <c r="M15" s="9"/>
      <c r="N15" s="9"/>
    </row>
    <row r="16" spans="1:14">
      <c r="A16" s="12" t="str">
        <f t="shared" si="0"/>
        <v>05,10,2026</v>
      </c>
      <c r="B16" s="19" t="s">
        <v>101</v>
      </c>
      <c r="C16" s="9">
        <v>26167684</v>
      </c>
      <c r="D16" s="16">
        <v>148876</v>
      </c>
      <c r="E16" s="9" t="s">
        <v>89</v>
      </c>
      <c r="F16" s="9">
        <v>1.29</v>
      </c>
      <c r="G16" s="10" t="str">
        <f>IFERROR(VLOOKUP(Table1[[#This Row],[CODE OFIS BROKER]],Table3[],2,0),"")</f>
        <v>ISMAYL</v>
      </c>
      <c r="H16" s="9" t="s">
        <v>13</v>
      </c>
      <c r="I16" s="9">
        <v>0</v>
      </c>
      <c r="J16" s="9">
        <v>0</v>
      </c>
      <c r="K16" s="9"/>
      <c r="L16" s="9"/>
      <c r="M16" s="9"/>
      <c r="N16" s="9"/>
    </row>
    <row r="17" spans="1:14">
      <c r="A17" s="12" t="str">
        <f t="shared" si="0"/>
        <v>05,10,2026</v>
      </c>
      <c r="B17" s="19" t="s">
        <v>102</v>
      </c>
      <c r="C17" s="9">
        <v>26167686</v>
      </c>
      <c r="D17" s="9">
        <v>149990</v>
      </c>
      <c r="E17" s="9" t="s">
        <v>20</v>
      </c>
      <c r="F17" s="9">
        <v>1.23</v>
      </c>
      <c r="G17" s="10" t="str">
        <f>IFERROR(VLOOKUP(Table1[[#This Row],[CODE OFIS BROKER]],Table3[],2,0),"")</f>
        <v>SABIT</v>
      </c>
      <c r="H17" s="9" t="s">
        <v>13</v>
      </c>
      <c r="I17" s="9">
        <v>0</v>
      </c>
      <c r="J17" s="9">
        <v>0</v>
      </c>
      <c r="K17" s="9"/>
      <c r="L17" s="9"/>
      <c r="M17" s="9"/>
      <c r="N17" s="9"/>
    </row>
    <row r="18" spans="1:14">
      <c r="A18" s="12" t="str">
        <f t="shared" si="0"/>
        <v>05,10,2026</v>
      </c>
      <c r="B18" s="19" t="s">
        <v>103</v>
      </c>
      <c r="C18" s="9">
        <v>26167688</v>
      </c>
      <c r="D18" s="9">
        <v>148877</v>
      </c>
      <c r="E18" s="9" t="s">
        <v>89</v>
      </c>
      <c r="F18" s="9">
        <v>1.29</v>
      </c>
      <c r="G18" s="10" t="str">
        <f>IFERROR(VLOOKUP(Table1[[#This Row],[CODE OFIS BROKER]],Table3[],2,0),"")</f>
        <v>ISMAYL</v>
      </c>
      <c r="H18" s="9" t="s">
        <v>13</v>
      </c>
      <c r="I18" s="9">
        <v>0</v>
      </c>
      <c r="J18" s="9">
        <v>0</v>
      </c>
      <c r="K18" s="9"/>
      <c r="L18" s="9"/>
      <c r="M18" s="9"/>
      <c r="N18" s="9"/>
    </row>
    <row r="19" spans="1:14">
      <c r="A19" s="12" t="str">
        <f t="shared" si="0"/>
        <v>05,10,2026</v>
      </c>
      <c r="B19" s="19" t="s">
        <v>104</v>
      </c>
      <c r="C19" s="9">
        <v>26167691</v>
      </c>
      <c r="D19" s="9">
        <v>148878</v>
      </c>
      <c r="E19" s="9" t="s">
        <v>90</v>
      </c>
      <c r="F19" s="9">
        <v>1.29</v>
      </c>
      <c r="G19" s="10" t="str">
        <f>IFERROR(VLOOKUP(Table1[[#This Row],[CODE OFIS BROKER]],Table3[],2,0),"")</f>
        <v>ISMAYL</v>
      </c>
      <c r="H19" s="9" t="s">
        <v>13</v>
      </c>
      <c r="I19" s="9">
        <v>0</v>
      </c>
      <c r="J19" s="9">
        <v>0</v>
      </c>
      <c r="K19" s="9"/>
      <c r="L19" s="9"/>
      <c r="M19" s="9"/>
      <c r="N19" s="9"/>
    </row>
    <row r="20" spans="1:14">
      <c r="A20" s="12" t="str">
        <f t="shared" si="0"/>
        <v>05,10,2026</v>
      </c>
      <c r="B20" s="19" t="s">
        <v>105</v>
      </c>
      <c r="C20" s="9">
        <v>26167693</v>
      </c>
      <c r="D20" s="9">
        <v>155082</v>
      </c>
      <c r="E20" s="9" t="s">
        <v>90</v>
      </c>
      <c r="F20" s="9">
        <v>2.23</v>
      </c>
      <c r="G20" s="10" t="str">
        <f>IFERROR(VLOOKUP(Table1[[#This Row],[CODE OFIS BROKER]],Table3[],2,0),"")</f>
        <v>NECMI ERDAN</v>
      </c>
      <c r="H20" s="9" t="s">
        <v>13</v>
      </c>
      <c r="I20" s="9">
        <v>0</v>
      </c>
      <c r="J20" s="9">
        <v>0</v>
      </c>
      <c r="K20" s="9"/>
      <c r="L20" s="9"/>
      <c r="M20" s="9"/>
      <c r="N20" s="9"/>
    </row>
    <row r="21" spans="1:14">
      <c r="A21" s="12" t="str">
        <f t="shared" si="0"/>
        <v>05,10,2026</v>
      </c>
      <c r="B21" s="19" t="s">
        <v>106</v>
      </c>
      <c r="C21" s="9">
        <v>26167698</v>
      </c>
      <c r="D21" s="9">
        <v>148971</v>
      </c>
      <c r="E21" s="9" t="s">
        <v>20</v>
      </c>
      <c r="F21" s="9">
        <v>1.29</v>
      </c>
      <c r="G21" s="10" t="str">
        <f>IFERROR(VLOOKUP(Table1[[#This Row],[CODE OFIS BROKER]],Table3[],2,0),"")</f>
        <v>ISMAYL</v>
      </c>
      <c r="H21" s="9" t="s">
        <v>13</v>
      </c>
      <c r="I21" s="9">
        <v>0</v>
      </c>
      <c r="J21" s="9">
        <v>0</v>
      </c>
      <c r="K21" s="9"/>
      <c r="L21" s="9"/>
      <c r="M21" s="9"/>
      <c r="N21" s="9"/>
    </row>
    <row r="22" spans="1:14">
      <c r="A22" s="12" t="str">
        <f t="shared" si="0"/>
        <v>05,10,2026</v>
      </c>
      <c r="B22" s="19" t="s">
        <v>107</v>
      </c>
      <c r="C22" s="9">
        <v>26167704</v>
      </c>
      <c r="D22" s="9">
        <v>137859</v>
      </c>
      <c r="E22" s="9" t="s">
        <v>20</v>
      </c>
      <c r="F22" s="9">
        <v>4.0999999999999996</v>
      </c>
      <c r="G22" s="10" t="str">
        <f>IFERROR(VLOOKUP(Table1[[#This Row],[CODE OFIS BROKER]],Table3[],2,0),"")</f>
        <v xml:space="preserve">SEVGIN </v>
      </c>
      <c r="H22" s="9" t="s">
        <v>13</v>
      </c>
      <c r="I22" s="9">
        <v>0</v>
      </c>
      <c r="J22" s="9">
        <v>0</v>
      </c>
      <c r="K22" s="9"/>
      <c r="L22" s="9"/>
      <c r="M22" s="9"/>
      <c r="N22" s="9"/>
    </row>
    <row r="23" spans="1:14">
      <c r="A23" s="12" t="str">
        <f t="shared" si="0"/>
        <v>05,10,2026</v>
      </c>
      <c r="B23" s="19" t="s">
        <v>108</v>
      </c>
      <c r="C23" s="9">
        <v>26167713</v>
      </c>
      <c r="D23" s="9">
        <v>148972</v>
      </c>
      <c r="E23" s="9" t="s">
        <v>20</v>
      </c>
      <c r="F23" s="9">
        <v>1.29</v>
      </c>
      <c r="G23" s="10" t="str">
        <f>IFERROR(VLOOKUP(Table1[[#This Row],[CODE OFIS BROKER]],Table3[],2,0),"")</f>
        <v>ISMAYL</v>
      </c>
      <c r="H23" s="9" t="s">
        <v>13</v>
      </c>
      <c r="I23" s="9">
        <v>0</v>
      </c>
      <c r="J23" s="9">
        <v>0</v>
      </c>
      <c r="K23" s="9"/>
      <c r="L23" s="9"/>
      <c r="M23" s="9"/>
      <c r="N23" s="9"/>
    </row>
    <row r="24" spans="1:14">
      <c r="A24" s="12" t="str">
        <f t="shared" si="0"/>
        <v>05,10,2026</v>
      </c>
      <c r="B24" s="19" t="s">
        <v>109</v>
      </c>
      <c r="C24" s="9">
        <v>26167715</v>
      </c>
      <c r="D24" s="9">
        <v>149991</v>
      </c>
      <c r="E24" s="9" t="s">
        <v>20</v>
      </c>
      <c r="F24" s="9">
        <v>1.23</v>
      </c>
      <c r="G24" s="10" t="str">
        <f>IFERROR(VLOOKUP(Table1[[#This Row],[CODE OFIS BROKER]],Table3[],2,0),"")</f>
        <v>SABIT</v>
      </c>
      <c r="H24" s="9" t="s">
        <v>13</v>
      </c>
      <c r="I24" s="9">
        <v>0</v>
      </c>
      <c r="J24" s="9">
        <v>0</v>
      </c>
      <c r="K24" s="9"/>
      <c r="L24" s="9"/>
      <c r="M24" s="9"/>
      <c r="N24" s="9"/>
    </row>
    <row r="25" spans="1:14">
      <c r="A25" s="12" t="str">
        <f t="shared" si="0"/>
        <v>05,10,2026</v>
      </c>
      <c r="B25" s="19" t="s">
        <v>110</v>
      </c>
      <c r="C25" s="9">
        <v>26167721</v>
      </c>
      <c r="D25" s="9">
        <v>153305</v>
      </c>
      <c r="E25" s="9" t="s">
        <v>89</v>
      </c>
      <c r="F25" s="9">
        <v>1.18</v>
      </c>
      <c r="G25" s="10" t="str">
        <f>IFERROR(VLOOKUP(Table1[[#This Row],[CODE OFIS BROKER]],Table3[],2,0),"")</f>
        <v>EROL</v>
      </c>
      <c r="H25" s="9" t="s">
        <v>13</v>
      </c>
      <c r="I25" s="9">
        <v>0</v>
      </c>
      <c r="J25" s="9">
        <v>0</v>
      </c>
      <c r="K25" s="9"/>
      <c r="L25" s="9"/>
      <c r="M25" s="9"/>
      <c r="N25" s="9"/>
    </row>
    <row r="26" spans="1:14">
      <c r="A26" s="12" t="str">
        <f t="shared" si="0"/>
        <v>05,10,2026</v>
      </c>
      <c r="B26" s="19" t="s">
        <v>111</v>
      </c>
      <c r="C26" s="9">
        <v>26167724</v>
      </c>
      <c r="D26" s="9">
        <v>148953</v>
      </c>
      <c r="E26" s="9" t="s">
        <v>20</v>
      </c>
      <c r="F26" s="9">
        <v>1.29</v>
      </c>
      <c r="G26" s="10" t="str">
        <f>IFERROR(VLOOKUP(Table1[[#This Row],[CODE OFIS BROKER]],Table3[],2,0),"")</f>
        <v>ISMAYL</v>
      </c>
      <c r="H26" s="9" t="s">
        <v>13</v>
      </c>
      <c r="I26" s="9">
        <v>0</v>
      </c>
      <c r="J26" s="9">
        <v>0</v>
      </c>
      <c r="K26" s="9"/>
      <c r="L26" s="9"/>
      <c r="M26" s="9"/>
      <c r="N26" s="9"/>
    </row>
    <row r="27" spans="1:14">
      <c r="A27" s="12" t="str">
        <f t="shared" si="0"/>
        <v>05,10,2026</v>
      </c>
      <c r="B27" s="19" t="s">
        <v>112</v>
      </c>
      <c r="C27" s="9">
        <v>26167729</v>
      </c>
      <c r="D27" s="9">
        <v>149992</v>
      </c>
      <c r="E27" s="9" t="s">
        <v>20</v>
      </c>
      <c r="F27" s="9">
        <v>1.23</v>
      </c>
      <c r="G27" s="10" t="str">
        <f>IFERROR(VLOOKUP(Table1[[#This Row],[CODE OFIS BROKER]],Table3[],2,0),"")</f>
        <v>SABIT</v>
      </c>
      <c r="H27" s="9" t="s">
        <v>13</v>
      </c>
      <c r="I27" s="9">
        <v>0</v>
      </c>
      <c r="J27" s="9">
        <v>0</v>
      </c>
      <c r="K27" s="9"/>
      <c r="L27" s="9"/>
      <c r="M27" s="9"/>
      <c r="N27" s="9"/>
    </row>
    <row r="28" spans="1:14">
      <c r="A28" s="12" t="str">
        <f t="shared" si="0"/>
        <v>05,10,2026</v>
      </c>
      <c r="B28" s="19" t="s">
        <v>113</v>
      </c>
      <c r="C28" s="9">
        <v>26167733</v>
      </c>
      <c r="D28" s="9">
        <v>148974</v>
      </c>
      <c r="E28" s="9" t="s">
        <v>20</v>
      </c>
      <c r="F28" s="9">
        <v>1.29</v>
      </c>
      <c r="G28" s="10" t="str">
        <f>IFERROR(VLOOKUP(Table1[[#This Row],[CODE OFIS BROKER]],Table3[],2,0),"")</f>
        <v>ISMAYL</v>
      </c>
      <c r="H28" s="9" t="s">
        <v>13</v>
      </c>
      <c r="I28" s="9">
        <v>0</v>
      </c>
      <c r="J28" s="9">
        <v>0</v>
      </c>
      <c r="K28" s="9"/>
      <c r="L28" s="9"/>
      <c r="M28" s="9"/>
      <c r="N28" s="9"/>
    </row>
    <row r="29" spans="1:14">
      <c r="A29" s="12" t="str">
        <f t="shared" ref="A29:A52" si="1">$B$9</f>
        <v>05,10,2026</v>
      </c>
      <c r="B29" s="19" t="s">
        <v>114</v>
      </c>
      <c r="C29" s="9">
        <v>26167737</v>
      </c>
      <c r="D29" s="9">
        <v>149993</v>
      </c>
      <c r="E29" s="9" t="s">
        <v>20</v>
      </c>
      <c r="F29" s="9">
        <v>1.23</v>
      </c>
      <c r="G29" s="20" t="str">
        <f>IFERROR(VLOOKUP(Table1[[#This Row],[CODE OFIS BROKER]],Table3[],2,0),"")</f>
        <v>SABIT</v>
      </c>
      <c r="H29" s="9" t="s">
        <v>13</v>
      </c>
      <c r="I29" s="9">
        <v>0</v>
      </c>
      <c r="J29" s="9">
        <v>0</v>
      </c>
      <c r="K29" s="9"/>
      <c r="L29" s="9"/>
      <c r="M29" s="9"/>
      <c r="N29" s="9"/>
    </row>
    <row r="30" spans="1:14">
      <c r="A30" s="12" t="str">
        <f t="shared" si="1"/>
        <v>05,10,2026</v>
      </c>
      <c r="B30" s="19" t="s">
        <v>115</v>
      </c>
      <c r="C30" s="9">
        <v>26167740</v>
      </c>
      <c r="D30" s="9">
        <v>148955</v>
      </c>
      <c r="E30" s="9" t="s">
        <v>20</v>
      </c>
      <c r="F30" s="9">
        <v>1.29</v>
      </c>
      <c r="G30" s="20" t="str">
        <f>IFERROR(VLOOKUP(Table1[[#This Row],[CODE OFIS BROKER]],Table3[],2,0),"")</f>
        <v>ISMAYL</v>
      </c>
      <c r="H30" s="9" t="s">
        <v>13</v>
      </c>
      <c r="I30" s="9">
        <v>0</v>
      </c>
      <c r="J30" s="9">
        <v>0</v>
      </c>
      <c r="K30" s="9"/>
      <c r="L30" s="9"/>
      <c r="M30" s="9"/>
      <c r="N30" s="9"/>
    </row>
    <row r="31" spans="1:14">
      <c r="A31" s="12" t="str">
        <f t="shared" si="1"/>
        <v>05,10,2026</v>
      </c>
      <c r="B31" s="19" t="s">
        <v>116</v>
      </c>
      <c r="C31" s="9">
        <v>26167745</v>
      </c>
      <c r="D31" s="9">
        <v>149009</v>
      </c>
      <c r="E31" s="9" t="s">
        <v>89</v>
      </c>
      <c r="F31" s="9">
        <v>1.29</v>
      </c>
      <c r="G31" s="20" t="str">
        <f>IFERROR(VLOOKUP(Table1[[#This Row],[CODE OFIS BROKER]],Table3[],2,0),"")</f>
        <v>ISMAYL</v>
      </c>
      <c r="H31" s="9" t="s">
        <v>13</v>
      </c>
      <c r="I31" s="9">
        <v>0</v>
      </c>
      <c r="J31" s="9">
        <v>0</v>
      </c>
      <c r="K31" s="9"/>
      <c r="L31" s="9"/>
      <c r="M31" s="9"/>
      <c r="N31" s="9"/>
    </row>
    <row r="32" spans="1:14">
      <c r="A32" s="12" t="str">
        <f t="shared" si="1"/>
        <v>05,10,2026</v>
      </c>
      <c r="B32" s="19" t="s">
        <v>117</v>
      </c>
      <c r="C32" s="9">
        <v>26167750</v>
      </c>
      <c r="D32" s="9">
        <v>144092</v>
      </c>
      <c r="E32" s="9" t="s">
        <v>20</v>
      </c>
      <c r="F32" s="9">
        <v>4.0999999999999996</v>
      </c>
      <c r="G32" s="20" t="str">
        <f>IFERROR(VLOOKUP(Table1[[#This Row],[CODE OFIS BROKER]],Table3[],2,0),"")</f>
        <v xml:space="preserve">SEVGIN </v>
      </c>
      <c r="H32" s="9" t="s">
        <v>13</v>
      </c>
      <c r="I32" s="9">
        <v>0</v>
      </c>
      <c r="J32" s="9">
        <v>0</v>
      </c>
      <c r="K32" s="9"/>
      <c r="L32" s="9"/>
      <c r="M32" s="9"/>
      <c r="N32" s="9"/>
    </row>
    <row r="33" spans="1:14">
      <c r="A33" s="12" t="str">
        <f t="shared" si="1"/>
        <v>05,10,2026</v>
      </c>
      <c r="B33" s="19" t="s">
        <v>118</v>
      </c>
      <c r="C33" s="9">
        <v>26167755</v>
      </c>
      <c r="D33" s="9">
        <v>147874</v>
      </c>
      <c r="E33" s="9" t="s">
        <v>20</v>
      </c>
      <c r="F33" s="9">
        <v>1.19</v>
      </c>
      <c r="G33" s="20" t="str">
        <f>IFERROR(VLOOKUP(Table1[[#This Row],[CODE OFIS BROKER]],Table3[],2,0),"")</f>
        <v>MUSTAFA</v>
      </c>
      <c r="H33" s="9" t="s">
        <v>13</v>
      </c>
      <c r="I33" s="9">
        <v>0</v>
      </c>
      <c r="J33" s="9">
        <v>0</v>
      </c>
      <c r="K33" s="9"/>
      <c r="L33" s="9"/>
      <c r="M33" s="9"/>
      <c r="N33" s="9"/>
    </row>
    <row r="34" spans="1:14">
      <c r="A34" s="12" t="str">
        <f t="shared" si="1"/>
        <v>05,10,2026</v>
      </c>
      <c r="B34" s="19" t="s">
        <v>119</v>
      </c>
      <c r="C34" s="9">
        <v>26167758</v>
      </c>
      <c r="D34" s="9">
        <v>147877</v>
      </c>
      <c r="E34" s="9" t="s">
        <v>20</v>
      </c>
      <c r="F34" s="9">
        <v>1.19</v>
      </c>
      <c r="G34" s="20" t="str">
        <f>IFERROR(VLOOKUP(Table1[[#This Row],[CODE OFIS BROKER]],Table3[],2,0),"")</f>
        <v>MUSTAFA</v>
      </c>
      <c r="H34" s="9" t="s">
        <v>13</v>
      </c>
      <c r="I34" s="9">
        <v>0</v>
      </c>
      <c r="J34" s="9">
        <v>0</v>
      </c>
      <c r="K34" s="9"/>
      <c r="L34" s="9"/>
      <c r="M34" s="9"/>
      <c r="N34" s="9"/>
    </row>
    <row r="35" spans="1:14">
      <c r="A35" s="12" t="str">
        <f t="shared" si="1"/>
        <v>05,10,2026</v>
      </c>
      <c r="B35" s="19" t="s">
        <v>120</v>
      </c>
      <c r="C35" s="9">
        <v>26167760</v>
      </c>
      <c r="D35" s="9">
        <v>147879</v>
      </c>
      <c r="E35" s="9" t="s">
        <v>20</v>
      </c>
      <c r="F35" s="9">
        <v>1.19</v>
      </c>
      <c r="G35" s="20" t="str">
        <f>IFERROR(VLOOKUP(Table1[[#This Row],[CODE OFIS BROKER]],Table3[],2,0),"")</f>
        <v>MUSTAFA</v>
      </c>
      <c r="H35" s="9" t="s">
        <v>13</v>
      </c>
      <c r="I35" s="9">
        <v>0</v>
      </c>
      <c r="J35" s="9">
        <v>0</v>
      </c>
      <c r="K35" s="9"/>
      <c r="L35" s="9"/>
      <c r="M35" s="9"/>
      <c r="N35" s="9"/>
    </row>
    <row r="36" spans="1:14">
      <c r="A36" s="12" t="str">
        <f t="shared" si="1"/>
        <v>05,10,2026</v>
      </c>
      <c r="B36" s="19" t="s">
        <v>121</v>
      </c>
      <c r="C36" s="9">
        <v>26167763</v>
      </c>
      <c r="D36" s="9">
        <v>151095</v>
      </c>
      <c r="E36" s="9" t="s">
        <v>20</v>
      </c>
      <c r="F36" s="9">
        <v>1.17</v>
      </c>
      <c r="G36" s="20" t="str">
        <f>IFERROR(VLOOKUP(Table1[[#This Row],[CODE OFIS BROKER]],Table3[],2,0),"")</f>
        <v>SUNAY</v>
      </c>
      <c r="H36" s="9" t="s">
        <v>13</v>
      </c>
      <c r="I36" s="9">
        <v>0</v>
      </c>
      <c r="J36" s="9">
        <v>0</v>
      </c>
      <c r="K36" s="9"/>
      <c r="L36" s="9"/>
      <c r="M36" s="9"/>
      <c r="N36" s="9"/>
    </row>
    <row r="37" spans="1:14">
      <c r="A37" s="12" t="str">
        <f t="shared" si="1"/>
        <v>05,10,2026</v>
      </c>
      <c r="B37" s="19">
        <v>2227017</v>
      </c>
      <c r="C37" s="9">
        <v>26167771</v>
      </c>
      <c r="D37" s="9">
        <v>148328</v>
      </c>
      <c r="E37" s="9" t="s">
        <v>20</v>
      </c>
      <c r="F37" s="9">
        <v>3.6</v>
      </c>
      <c r="G37" s="20" t="str">
        <f>IFERROR(VLOOKUP(Table1[[#This Row],[CODE OFIS BROKER]],Table3[],2,0),"")</f>
        <v>VARNA</v>
      </c>
      <c r="H37" s="9" t="s">
        <v>13</v>
      </c>
      <c r="I37" s="9">
        <v>0</v>
      </c>
      <c r="J37" s="9">
        <v>0</v>
      </c>
      <c r="K37" s="9"/>
      <c r="L37" s="9"/>
      <c r="M37" s="9"/>
      <c r="N37" s="9"/>
    </row>
    <row r="38" spans="1:14">
      <c r="A38" s="12" t="str">
        <f t="shared" si="1"/>
        <v>05,10,2026</v>
      </c>
      <c r="B38" s="19" t="s">
        <v>122</v>
      </c>
      <c r="C38" s="9">
        <v>26167776</v>
      </c>
      <c r="D38" s="9">
        <v>149147</v>
      </c>
      <c r="E38" s="9" t="s">
        <v>20</v>
      </c>
      <c r="F38" s="9">
        <v>1.1499999999999999</v>
      </c>
      <c r="G38" s="20" t="str">
        <f>IFERROR(VLOOKUP(Table1[[#This Row],[CODE OFIS BROKER]],Table3[],2,0),"")</f>
        <v>NEJAT</v>
      </c>
      <c r="H38" s="9" t="s">
        <v>13</v>
      </c>
      <c r="I38" s="9">
        <v>0</v>
      </c>
      <c r="J38" s="9">
        <v>0</v>
      </c>
      <c r="K38" s="9"/>
      <c r="L38" s="9"/>
      <c r="M38" s="9"/>
      <c r="N38" s="9"/>
    </row>
    <row r="39" spans="1:14">
      <c r="A39" s="12" t="str">
        <f t="shared" si="1"/>
        <v>05,10,2026</v>
      </c>
      <c r="B39" s="19" t="s">
        <v>123</v>
      </c>
      <c r="C39" s="9">
        <v>26167777</v>
      </c>
      <c r="D39" s="9">
        <v>153780</v>
      </c>
      <c r="E39" s="9" t="s">
        <v>20</v>
      </c>
      <c r="F39" s="9">
        <v>1.6</v>
      </c>
      <c r="G39" s="20" t="str">
        <f>IFERROR(VLOOKUP(Table1[[#This Row],[CODE OFIS BROKER]],Table3[],2,0),"")</f>
        <v>ZEYTINBURNU</v>
      </c>
      <c r="H39" s="9" t="s">
        <v>13</v>
      </c>
      <c r="I39" s="9">
        <v>0</v>
      </c>
      <c r="J39" s="9">
        <v>0</v>
      </c>
      <c r="K39" s="9"/>
      <c r="L39" s="9"/>
      <c r="M39" s="9"/>
      <c r="N39" s="9"/>
    </row>
    <row r="40" spans="1:14">
      <c r="A40" s="12" t="str">
        <f t="shared" si="1"/>
        <v>05,10,2026</v>
      </c>
      <c r="B40" s="19" t="s">
        <v>124</v>
      </c>
      <c r="C40" s="9">
        <v>26167788</v>
      </c>
      <c r="D40" s="9">
        <v>149994</v>
      </c>
      <c r="E40" s="9" t="s">
        <v>20</v>
      </c>
      <c r="F40" s="9">
        <v>1.23</v>
      </c>
      <c r="G40" s="20" t="str">
        <f>IFERROR(VLOOKUP(Table1[[#This Row],[CODE OFIS BROKER]],Table3[],2,0),"")</f>
        <v>SABIT</v>
      </c>
      <c r="H40" s="9" t="s">
        <v>13</v>
      </c>
      <c r="I40" s="9">
        <v>0</v>
      </c>
      <c r="J40" s="9">
        <v>0</v>
      </c>
      <c r="K40" s="9"/>
      <c r="L40" s="9"/>
      <c r="M40" s="9"/>
      <c r="N40" s="9"/>
    </row>
    <row r="41" spans="1:14">
      <c r="A41" s="12" t="str">
        <f t="shared" si="1"/>
        <v>05,10,2026</v>
      </c>
      <c r="B41" s="19" t="s">
        <v>125</v>
      </c>
      <c r="C41" s="9">
        <v>26167792</v>
      </c>
      <c r="D41" s="9">
        <v>153685</v>
      </c>
      <c r="E41" s="9" t="s">
        <v>20</v>
      </c>
      <c r="F41" s="9">
        <v>1.26</v>
      </c>
      <c r="G41" s="20" t="str">
        <f>IFERROR(VLOOKUP(Table1[[#This Row],[CODE OFIS BROKER]],Table3[],2,0),"")</f>
        <v>BALKAN TRAVEL</v>
      </c>
      <c r="H41" s="9" t="s">
        <v>13</v>
      </c>
      <c r="I41" s="9">
        <v>0</v>
      </c>
      <c r="J41" s="9">
        <v>0</v>
      </c>
      <c r="K41" s="9"/>
      <c r="L41" s="9"/>
      <c r="M41" s="9"/>
      <c r="N41" s="9"/>
    </row>
    <row r="42" spans="1:14">
      <c r="A42" s="12" t="str">
        <f t="shared" si="1"/>
        <v>05,10,2026</v>
      </c>
      <c r="B42" s="19" t="s">
        <v>126</v>
      </c>
      <c r="C42" s="9">
        <v>26167796</v>
      </c>
      <c r="D42" s="9">
        <v>149995</v>
      </c>
      <c r="E42" s="9" t="s">
        <v>20</v>
      </c>
      <c r="F42" s="9">
        <v>1.23</v>
      </c>
      <c r="G42" s="20" t="str">
        <f>IFERROR(VLOOKUP(Table1[[#This Row],[CODE OFIS BROKER]],Table3[],2,0),"")</f>
        <v>SABIT</v>
      </c>
      <c r="H42" s="9" t="s">
        <v>13</v>
      </c>
      <c r="I42" s="9">
        <v>0</v>
      </c>
      <c r="J42" s="9">
        <v>0</v>
      </c>
      <c r="K42" s="9"/>
      <c r="L42" s="9"/>
      <c r="M42" s="9"/>
      <c r="N42" s="9"/>
    </row>
    <row r="43" spans="1:14">
      <c r="A43" s="12" t="str">
        <f t="shared" si="1"/>
        <v>05,10,2026</v>
      </c>
      <c r="B43" s="19" t="s">
        <v>127</v>
      </c>
      <c r="C43" s="9">
        <v>26167799</v>
      </c>
      <c r="D43" s="9">
        <v>155961</v>
      </c>
      <c r="E43" s="9" t="s">
        <v>89</v>
      </c>
      <c r="F43" s="9">
        <v>1.29</v>
      </c>
      <c r="G43" s="20" t="str">
        <f>IFERROR(VLOOKUP(Table1[[#This Row],[CODE OFIS BROKER]],Table3[],2,0),"")</f>
        <v>ISMAYL</v>
      </c>
      <c r="H43" s="9" t="s">
        <v>13</v>
      </c>
      <c r="I43" s="9">
        <v>0</v>
      </c>
      <c r="J43" s="9">
        <v>0</v>
      </c>
      <c r="K43" s="9"/>
      <c r="L43" s="9"/>
      <c r="M43" s="9"/>
      <c r="N43" s="9"/>
    </row>
    <row r="44" spans="1:14">
      <c r="A44" s="12" t="str">
        <f t="shared" si="1"/>
        <v>05,10,2026</v>
      </c>
      <c r="B44" s="19" t="s">
        <v>128</v>
      </c>
      <c r="C44" s="9">
        <v>26167801</v>
      </c>
      <c r="D44" s="9">
        <v>138777</v>
      </c>
      <c r="E44" s="9" t="s">
        <v>20</v>
      </c>
      <c r="F44" s="9">
        <v>2.21</v>
      </c>
      <c r="G44" s="20" t="str">
        <f>IFERROR(VLOOKUP(Table1[[#This Row],[CODE OFIS BROKER]],Table3[],2,0),"")</f>
        <v>ERCAN SEVER</v>
      </c>
      <c r="H44" s="9" t="s">
        <v>13</v>
      </c>
      <c r="I44" s="9">
        <v>0</v>
      </c>
      <c r="J44" s="9">
        <v>0</v>
      </c>
      <c r="K44" s="9"/>
      <c r="L44" s="9"/>
      <c r="M44" s="9"/>
      <c r="N44" s="9"/>
    </row>
    <row r="45" spans="1:14">
      <c r="A45" s="12" t="str">
        <f t="shared" si="1"/>
        <v>05,10,2026</v>
      </c>
      <c r="B45" s="19" t="s">
        <v>129</v>
      </c>
      <c r="C45" s="9">
        <v>26167803</v>
      </c>
      <c r="D45" s="9">
        <v>140031</v>
      </c>
      <c r="E45" s="9" t="s">
        <v>20</v>
      </c>
      <c r="F45" s="9">
        <v>4.0999999999999996</v>
      </c>
      <c r="G45" s="20" t="str">
        <f>IFERROR(VLOOKUP(Table1[[#This Row],[CODE OFIS BROKER]],Table3[],2,0),"")</f>
        <v xml:space="preserve">SEVGIN </v>
      </c>
      <c r="H45" s="9" t="s">
        <v>13</v>
      </c>
      <c r="I45" s="9">
        <v>0</v>
      </c>
      <c r="J45" s="9">
        <v>0</v>
      </c>
      <c r="K45" s="9"/>
      <c r="L45" s="9"/>
      <c r="M45" s="9"/>
      <c r="N45" s="9"/>
    </row>
    <row r="46" spans="1:14">
      <c r="A46" s="12" t="str">
        <f t="shared" si="1"/>
        <v>05,10,2026</v>
      </c>
      <c r="B46" s="19" t="s">
        <v>130</v>
      </c>
      <c r="C46" s="9">
        <v>26167808</v>
      </c>
      <c r="D46" s="9">
        <v>151764</v>
      </c>
      <c r="E46" s="9" t="s">
        <v>20</v>
      </c>
      <c r="F46" s="9">
        <v>1.6</v>
      </c>
      <c r="G46" s="20" t="str">
        <f>IFERROR(VLOOKUP(Table1[[#This Row],[CODE OFIS BROKER]],Table3[],2,0),"")</f>
        <v>ZEYTINBURNU</v>
      </c>
      <c r="H46" s="9" t="s">
        <v>13</v>
      </c>
      <c r="I46" s="9">
        <v>0</v>
      </c>
      <c r="J46" s="9">
        <v>0</v>
      </c>
      <c r="K46" s="9"/>
      <c r="L46" s="9"/>
      <c r="M46" s="9"/>
      <c r="N46" s="9"/>
    </row>
    <row r="47" spans="1:14">
      <c r="A47" s="12" t="str">
        <f t="shared" si="1"/>
        <v>05,10,2026</v>
      </c>
      <c r="B47" s="19" t="s">
        <v>131</v>
      </c>
      <c r="C47" s="9">
        <v>26167809</v>
      </c>
      <c r="D47" s="9">
        <v>151765</v>
      </c>
      <c r="E47" s="9" t="s">
        <v>20</v>
      </c>
      <c r="F47" s="9">
        <v>1.6</v>
      </c>
      <c r="G47" s="20" t="str">
        <f>IFERROR(VLOOKUP(Table1[[#This Row],[CODE OFIS BROKER]],Table3[],2,0),"")</f>
        <v>ZEYTINBURNU</v>
      </c>
      <c r="H47" s="9" t="s">
        <v>13</v>
      </c>
      <c r="I47" s="9">
        <v>0</v>
      </c>
      <c r="J47" s="9">
        <v>0</v>
      </c>
      <c r="K47" s="9"/>
      <c r="L47" s="9"/>
      <c r="M47" s="9"/>
      <c r="N47" s="9"/>
    </row>
    <row r="48" spans="1:14">
      <c r="A48" s="12" t="str">
        <f t="shared" si="1"/>
        <v>05,10,2026</v>
      </c>
      <c r="B48" s="19" t="s">
        <v>132</v>
      </c>
      <c r="C48" s="9">
        <v>26167857</v>
      </c>
      <c r="D48" s="9">
        <v>149148</v>
      </c>
      <c r="E48" s="9" t="s">
        <v>89</v>
      </c>
      <c r="F48" s="9">
        <v>1.1499999999999999</v>
      </c>
      <c r="G48" s="20" t="str">
        <f>IFERROR(VLOOKUP(Table1[[#This Row],[CODE OFIS BROKER]],Table3[],2,0),"")</f>
        <v>NEJAT</v>
      </c>
      <c r="H48" s="9" t="s">
        <v>13</v>
      </c>
      <c r="I48" s="9">
        <v>0</v>
      </c>
      <c r="J48" s="9">
        <v>0</v>
      </c>
      <c r="K48" s="9"/>
      <c r="L48" s="9"/>
      <c r="M48" s="9"/>
      <c r="N48" s="9"/>
    </row>
    <row r="49" spans="1:14">
      <c r="A49" s="12" t="str">
        <f t="shared" si="1"/>
        <v>05,10,2026</v>
      </c>
      <c r="B49" s="19" t="s">
        <v>133</v>
      </c>
      <c r="C49" s="9">
        <v>26167861</v>
      </c>
      <c r="D49" s="9">
        <v>149149</v>
      </c>
      <c r="E49" s="9" t="s">
        <v>20</v>
      </c>
      <c r="F49" s="9">
        <v>1.1499999999999999</v>
      </c>
      <c r="G49" s="20" t="str">
        <f>IFERROR(VLOOKUP(Table1[[#This Row],[CODE OFIS BROKER]],Table3[],2,0),"")</f>
        <v>NEJAT</v>
      </c>
      <c r="H49" s="9" t="s">
        <v>13</v>
      </c>
      <c r="I49" s="9">
        <v>0</v>
      </c>
      <c r="J49" s="9">
        <v>0</v>
      </c>
      <c r="K49" s="9"/>
      <c r="L49" s="9"/>
      <c r="M49" s="9"/>
      <c r="N49" s="9"/>
    </row>
    <row r="50" spans="1:14">
      <c r="A50" s="12" t="str">
        <f t="shared" si="1"/>
        <v>05,10,2026</v>
      </c>
      <c r="B50" s="19" t="s">
        <v>134</v>
      </c>
      <c r="C50" s="9">
        <v>26167865</v>
      </c>
      <c r="D50" s="9">
        <v>138778</v>
      </c>
      <c r="E50" s="9" t="s">
        <v>20</v>
      </c>
      <c r="F50" s="9">
        <v>2.21</v>
      </c>
      <c r="G50" s="20" t="str">
        <f>IFERROR(VLOOKUP(Table1[[#This Row],[CODE OFIS BROKER]],Table3[],2,0),"")</f>
        <v>ERCAN SEVER</v>
      </c>
      <c r="H50" s="9" t="s">
        <v>13</v>
      </c>
      <c r="I50" s="9">
        <v>0</v>
      </c>
      <c r="J50" s="9">
        <v>0</v>
      </c>
      <c r="K50" s="9"/>
      <c r="L50" s="9"/>
      <c r="M50" s="9"/>
      <c r="N50" s="9"/>
    </row>
    <row r="51" spans="1:14">
      <c r="A51" s="12" t="str">
        <f t="shared" si="1"/>
        <v>05,10,2026</v>
      </c>
      <c r="B51" s="19" t="s">
        <v>135</v>
      </c>
      <c r="C51" s="9">
        <v>26167870</v>
      </c>
      <c r="D51" s="9">
        <v>156334</v>
      </c>
      <c r="E51" s="9" t="s">
        <v>89</v>
      </c>
      <c r="F51" s="9">
        <v>4.0999999999999996</v>
      </c>
      <c r="G51" s="20" t="str">
        <f>IFERROR(VLOOKUP(Table1[[#This Row],[CODE OFIS BROKER]],Table3[],2,0),"")</f>
        <v xml:space="preserve">SEVGIN </v>
      </c>
      <c r="H51" s="9" t="s">
        <v>13</v>
      </c>
      <c r="I51" s="9">
        <v>0</v>
      </c>
      <c r="J51" s="9">
        <v>0</v>
      </c>
      <c r="K51" s="9"/>
      <c r="L51" s="9"/>
      <c r="M51" s="9"/>
      <c r="N51" s="9"/>
    </row>
    <row r="52" spans="1:14">
      <c r="A52" s="12" t="str">
        <f t="shared" si="1"/>
        <v>05,10,2026</v>
      </c>
      <c r="B52" s="19" t="s">
        <v>136</v>
      </c>
      <c r="C52" s="9">
        <v>26167893</v>
      </c>
      <c r="D52" s="9">
        <v>147882</v>
      </c>
      <c r="E52" s="9" t="s">
        <v>20</v>
      </c>
      <c r="F52" s="9">
        <v>1.19</v>
      </c>
      <c r="G52" s="20" t="str">
        <f>IFERROR(VLOOKUP(Table1[[#This Row],[CODE OFIS BROKER]],Table3[],2,0),"")</f>
        <v>MUSTAFA</v>
      </c>
      <c r="H52" s="9" t="s">
        <v>13</v>
      </c>
      <c r="I52" s="9">
        <v>0</v>
      </c>
      <c r="J52" s="9">
        <v>0</v>
      </c>
      <c r="K52" s="9"/>
      <c r="L52" s="9"/>
      <c r="M52" s="9"/>
      <c r="N52" s="9"/>
    </row>
    <row r="53" spans="1:14">
      <c r="A53" s="12" t="str">
        <f t="shared" ref="A53:A64" si="2">$B$9</f>
        <v>05,10,2026</v>
      </c>
      <c r="B53" s="19" t="s">
        <v>137</v>
      </c>
      <c r="C53" s="9">
        <v>26167896</v>
      </c>
      <c r="D53" s="9">
        <v>147883</v>
      </c>
      <c r="E53" s="9" t="s">
        <v>20</v>
      </c>
      <c r="F53" s="9">
        <v>1.19</v>
      </c>
      <c r="G53" s="20" t="str">
        <f>IFERROR(VLOOKUP(Table1[[#This Row],[CODE OFIS BROKER]],Table3[],2,0),"")</f>
        <v>MUSTAFA</v>
      </c>
      <c r="H53" s="9" t="s">
        <v>13</v>
      </c>
      <c r="I53" s="9">
        <v>0</v>
      </c>
      <c r="J53" s="9">
        <v>0</v>
      </c>
      <c r="K53" s="9"/>
      <c r="L53" s="9"/>
      <c r="M53" s="9"/>
      <c r="N53" s="9"/>
    </row>
    <row r="54" spans="1:14">
      <c r="A54" s="12" t="str">
        <f t="shared" si="2"/>
        <v>05,10,2026</v>
      </c>
      <c r="B54" s="19" t="s">
        <v>138</v>
      </c>
      <c r="C54" s="9">
        <v>26167900</v>
      </c>
      <c r="D54" s="9">
        <v>147884</v>
      </c>
      <c r="E54" s="9" t="s">
        <v>20</v>
      </c>
      <c r="F54" s="9">
        <v>1.19</v>
      </c>
      <c r="G54" s="20" t="str">
        <f>IFERROR(VLOOKUP(Table1[[#This Row],[CODE OFIS BROKER]],Table3[],2,0),"")</f>
        <v>MUSTAFA</v>
      </c>
      <c r="H54" s="9" t="s">
        <v>13</v>
      </c>
      <c r="I54" s="9">
        <v>0</v>
      </c>
      <c r="J54" s="9">
        <v>0</v>
      </c>
      <c r="K54" s="9"/>
      <c r="L54" s="9"/>
      <c r="M54" s="9"/>
      <c r="N54" s="9"/>
    </row>
    <row r="55" spans="1:14">
      <c r="A55" s="12" t="str">
        <f t="shared" si="2"/>
        <v>05,10,2026</v>
      </c>
      <c r="B55" s="19" t="s">
        <v>139</v>
      </c>
      <c r="C55" s="9">
        <v>26167903</v>
      </c>
      <c r="D55" s="9">
        <v>153307</v>
      </c>
      <c r="E55" s="9" t="s">
        <v>20</v>
      </c>
      <c r="F55" s="9">
        <v>1.18</v>
      </c>
      <c r="G55" s="20" t="str">
        <f>IFERROR(VLOOKUP(Table1[[#This Row],[CODE OFIS BROKER]],Table3[],2,0),"")</f>
        <v>EROL</v>
      </c>
      <c r="H55" s="9" t="s">
        <v>13</v>
      </c>
      <c r="I55" s="9">
        <v>0</v>
      </c>
      <c r="J55" s="9">
        <v>0</v>
      </c>
      <c r="K55" s="9"/>
      <c r="L55" s="9"/>
      <c r="M55" s="9"/>
      <c r="N55" s="9"/>
    </row>
    <row r="56" spans="1:14">
      <c r="A56" s="12" t="str">
        <f t="shared" si="2"/>
        <v>05,10,2026</v>
      </c>
      <c r="B56" s="19" t="s">
        <v>140</v>
      </c>
      <c r="C56" s="9">
        <v>26167906</v>
      </c>
      <c r="D56" s="9">
        <v>147885</v>
      </c>
      <c r="E56" s="9" t="s">
        <v>20</v>
      </c>
      <c r="F56" s="9">
        <v>1.19</v>
      </c>
      <c r="G56" s="20" t="str">
        <f>IFERROR(VLOOKUP(Table1[[#This Row],[CODE OFIS BROKER]],Table3[],2,0),"")</f>
        <v>MUSTAFA</v>
      </c>
      <c r="H56" s="9" t="s">
        <v>13</v>
      </c>
      <c r="I56" s="9">
        <v>0</v>
      </c>
      <c r="J56" s="9">
        <v>0</v>
      </c>
      <c r="K56" s="9"/>
      <c r="L56" s="9"/>
      <c r="M56" s="9"/>
      <c r="N56" s="9"/>
    </row>
    <row r="57" spans="1:14">
      <c r="A57" s="12" t="str">
        <f t="shared" si="2"/>
        <v>05,10,2026</v>
      </c>
      <c r="B57" s="19" t="s">
        <v>141</v>
      </c>
      <c r="C57" s="9">
        <v>26167909</v>
      </c>
      <c r="D57" s="9">
        <v>144093</v>
      </c>
      <c r="E57" s="9" t="s">
        <v>89</v>
      </c>
      <c r="F57" s="9">
        <v>4.0999999999999996</v>
      </c>
      <c r="G57" s="20" t="str">
        <f>IFERROR(VLOOKUP(Table1[[#This Row],[CODE OFIS BROKER]],Table3[],2,0),"")</f>
        <v xml:space="preserve">SEVGIN </v>
      </c>
      <c r="H57" s="9" t="s">
        <v>13</v>
      </c>
      <c r="I57" s="9">
        <v>0</v>
      </c>
      <c r="J57" s="9">
        <v>0</v>
      </c>
      <c r="K57" s="9"/>
      <c r="L57" s="9"/>
      <c r="M57" s="9"/>
      <c r="N57" s="9"/>
    </row>
    <row r="58" spans="1:14">
      <c r="A58" s="12" t="str">
        <f t="shared" si="2"/>
        <v>05,10,2026</v>
      </c>
      <c r="B58" s="19" t="s">
        <v>142</v>
      </c>
      <c r="C58" s="9">
        <v>26167920</v>
      </c>
      <c r="D58" s="9">
        <v>148903</v>
      </c>
      <c r="E58" s="9" t="s">
        <v>20</v>
      </c>
      <c r="F58" s="9">
        <v>1.29</v>
      </c>
      <c r="G58" s="20" t="str">
        <f>IFERROR(VLOOKUP(Table1[[#This Row],[CODE OFIS BROKER]],Table3[],2,0),"")</f>
        <v>ISMAYL</v>
      </c>
      <c r="H58" s="9" t="s">
        <v>13</v>
      </c>
      <c r="I58" s="9">
        <v>0</v>
      </c>
      <c r="J58" s="9">
        <v>0</v>
      </c>
      <c r="K58" s="9"/>
      <c r="L58" s="9"/>
      <c r="M58" s="9"/>
      <c r="N58" s="9"/>
    </row>
    <row r="59" spans="1:14">
      <c r="A59" s="12" t="str">
        <f t="shared" si="2"/>
        <v>05,10,2026</v>
      </c>
      <c r="B59" s="19" t="s">
        <v>143</v>
      </c>
      <c r="C59" s="9">
        <v>26167925</v>
      </c>
      <c r="D59" s="9">
        <v>156335</v>
      </c>
      <c r="E59" s="9" t="s">
        <v>89</v>
      </c>
      <c r="F59" s="9">
        <v>4.0999999999999996</v>
      </c>
      <c r="G59" s="20" t="str">
        <f>IFERROR(VLOOKUP(Table1[[#This Row],[CODE OFIS BROKER]],Table3[],2,0),"")</f>
        <v xml:space="preserve">SEVGIN </v>
      </c>
      <c r="H59" s="9" t="s">
        <v>13</v>
      </c>
      <c r="I59" s="9">
        <v>0</v>
      </c>
      <c r="J59" s="9">
        <v>0</v>
      </c>
      <c r="K59" s="9"/>
      <c r="L59" s="9"/>
      <c r="M59" s="9"/>
      <c r="N59" s="9"/>
    </row>
    <row r="60" spans="1:14">
      <c r="A60" s="12" t="str">
        <f t="shared" si="2"/>
        <v>05,10,2026</v>
      </c>
      <c r="B60" s="19" t="s">
        <v>144</v>
      </c>
      <c r="C60" s="9">
        <v>26167935</v>
      </c>
      <c r="D60" s="9">
        <v>149998</v>
      </c>
      <c r="E60" s="9" t="s">
        <v>20</v>
      </c>
      <c r="F60" s="9">
        <v>1.23</v>
      </c>
      <c r="G60" s="20" t="str">
        <f>IFERROR(VLOOKUP(Table1[[#This Row],[CODE OFIS BROKER]],Table3[],2,0),"")</f>
        <v>SABIT</v>
      </c>
      <c r="H60" s="9" t="s">
        <v>13</v>
      </c>
      <c r="I60" s="9">
        <v>0</v>
      </c>
      <c r="J60" s="9">
        <v>0</v>
      </c>
      <c r="K60" s="9"/>
      <c r="L60" s="9"/>
      <c r="M60" s="9"/>
      <c r="N60" s="9"/>
    </row>
    <row r="61" spans="1:14">
      <c r="A61" s="12" t="str">
        <f t="shared" si="2"/>
        <v>05,10,2026</v>
      </c>
      <c r="B61" s="19" t="s">
        <v>145</v>
      </c>
      <c r="C61" s="9">
        <v>26167944</v>
      </c>
      <c r="D61" s="9">
        <v>156154</v>
      </c>
      <c r="E61" s="9" t="s">
        <v>20</v>
      </c>
      <c r="F61" s="9">
        <v>1.1299999999999999</v>
      </c>
      <c r="G61" s="20" t="str">
        <f>IFERROR(VLOOKUP(Table1[[#This Row],[CODE OFIS BROKER]],Table3[],2,0),"")</f>
        <v>NEVIN</v>
      </c>
      <c r="H61" s="9" t="s">
        <v>13</v>
      </c>
      <c r="I61" s="9">
        <v>0</v>
      </c>
      <c r="J61" s="9">
        <v>0</v>
      </c>
      <c r="K61" s="9"/>
      <c r="L61" s="9"/>
      <c r="M61" s="9"/>
      <c r="N61" s="9"/>
    </row>
    <row r="62" spans="1:14">
      <c r="A62" s="12" t="str">
        <f t="shared" si="2"/>
        <v>05,10,2026</v>
      </c>
      <c r="B62" s="19" t="s">
        <v>146</v>
      </c>
      <c r="C62" s="9">
        <v>26168946</v>
      </c>
      <c r="D62" s="9">
        <v>140552</v>
      </c>
      <c r="E62" s="9" t="s">
        <v>89</v>
      </c>
      <c r="F62" s="9">
        <v>1.1399999999999999</v>
      </c>
      <c r="G62" s="20" t="str">
        <f>IFERROR(VLOOKUP(Table1[[#This Row],[CODE OFIS BROKER]],Table3[],2,0),"")</f>
        <v>IZET</v>
      </c>
      <c r="H62" s="9" t="s">
        <v>13</v>
      </c>
      <c r="I62" s="9">
        <v>0</v>
      </c>
      <c r="J62" s="9">
        <v>0</v>
      </c>
      <c r="K62" s="9"/>
      <c r="L62" s="9"/>
      <c r="M62" s="9"/>
      <c r="N62" s="9"/>
    </row>
    <row r="63" spans="1:14">
      <c r="A63" s="12" t="str">
        <f t="shared" si="2"/>
        <v>05,10,2026</v>
      </c>
      <c r="B63" s="19" t="s">
        <v>147</v>
      </c>
      <c r="C63" s="9">
        <v>26167953</v>
      </c>
      <c r="D63" s="9">
        <v>139929</v>
      </c>
      <c r="E63" s="9" t="s">
        <v>89</v>
      </c>
      <c r="F63" s="9">
        <v>4.0999999999999996</v>
      </c>
      <c r="G63" s="20" t="str">
        <f>IFERROR(VLOOKUP(Table1[[#This Row],[CODE OFIS BROKER]],Table3[],2,0),"")</f>
        <v xml:space="preserve">SEVGIN </v>
      </c>
      <c r="H63" s="9" t="s">
        <v>13</v>
      </c>
      <c r="I63" s="9">
        <v>0</v>
      </c>
      <c r="J63" s="9">
        <v>0</v>
      </c>
      <c r="K63" s="9"/>
      <c r="L63" s="9"/>
      <c r="M63" s="9"/>
      <c r="N63" s="9"/>
    </row>
    <row r="64" spans="1:14">
      <c r="A64" s="12" t="str">
        <f t="shared" si="2"/>
        <v>05,10,2026</v>
      </c>
      <c r="B64" s="19" t="s">
        <v>148</v>
      </c>
      <c r="C64" s="9">
        <v>26167963</v>
      </c>
      <c r="D64" s="9">
        <v>140032</v>
      </c>
      <c r="E64" s="9" t="s">
        <v>20</v>
      </c>
      <c r="F64" s="9">
        <v>4.0999999999999996</v>
      </c>
      <c r="G64" s="20" t="str">
        <f>IFERROR(VLOOKUP(Table1[[#This Row],[CODE OFIS BROKER]],Table3[],2,0),"")</f>
        <v xml:space="preserve">SEVGIN </v>
      </c>
      <c r="H64" s="9" t="s">
        <v>13</v>
      </c>
      <c r="I64" s="9">
        <v>0</v>
      </c>
      <c r="J64" s="9">
        <v>0</v>
      </c>
      <c r="K64" s="9"/>
      <c r="L64" s="9"/>
      <c r="M64" s="9"/>
      <c r="N64" s="9"/>
    </row>
    <row r="65" spans="1:14">
      <c r="A65" s="12" t="str">
        <f t="shared" si="0"/>
        <v>05,10,2026</v>
      </c>
      <c r="B65" s="19" t="s">
        <v>149</v>
      </c>
      <c r="C65" s="9">
        <v>26167968</v>
      </c>
      <c r="D65" s="9">
        <v>137860</v>
      </c>
      <c r="E65" s="9" t="s">
        <v>20</v>
      </c>
      <c r="F65" s="9">
        <v>4.0999999999999996</v>
      </c>
      <c r="G65" s="10" t="str">
        <f>IFERROR(VLOOKUP(Table1[[#This Row],[CODE OFIS BROKER]],Table3[],2,0),"")</f>
        <v xml:space="preserve">SEVGIN </v>
      </c>
      <c r="H65" s="9" t="s">
        <v>13</v>
      </c>
      <c r="I65" s="9">
        <v>0</v>
      </c>
      <c r="J65" s="9">
        <v>0</v>
      </c>
      <c r="K65" s="9"/>
      <c r="L65" s="9"/>
      <c r="M65" s="9"/>
      <c r="N65" s="9"/>
    </row>
    <row r="66" spans="1:14">
      <c r="A66" s="12" t="str">
        <f t="shared" si="0"/>
        <v>05,10,2026</v>
      </c>
      <c r="B66" s="19" t="s">
        <v>150</v>
      </c>
      <c r="C66" s="9">
        <v>26167971</v>
      </c>
      <c r="D66" s="9">
        <v>153450</v>
      </c>
      <c r="E66" s="9" t="s">
        <v>20</v>
      </c>
      <c r="F66" s="9">
        <v>1.2</v>
      </c>
      <c r="G66" s="10" t="str">
        <f>IFERROR(VLOOKUP(Table1[[#This Row],[CODE OFIS BROKER]],Table3[],2,0),"")</f>
        <v>AHMET</v>
      </c>
      <c r="H66" s="9" t="s">
        <v>13</v>
      </c>
      <c r="I66" s="9">
        <v>0</v>
      </c>
      <c r="J66" s="9">
        <v>0</v>
      </c>
      <c r="K66" s="9"/>
      <c r="L66" s="9"/>
      <c r="M66" s="9"/>
      <c r="N66" s="9"/>
    </row>
    <row r="67" spans="1:14">
      <c r="A67" s="12" t="str">
        <f t="shared" ref="A67:A84" si="3">$B$9</f>
        <v>05,10,2026</v>
      </c>
      <c r="B67" s="19" t="s">
        <v>151</v>
      </c>
      <c r="C67" s="9">
        <v>26167979</v>
      </c>
      <c r="D67" s="9">
        <v>150000</v>
      </c>
      <c r="E67" s="9" t="s">
        <v>20</v>
      </c>
      <c r="F67" s="9">
        <v>1.23</v>
      </c>
      <c r="G67" s="20" t="str">
        <f>IFERROR(VLOOKUP(Table1[[#This Row],[CODE OFIS BROKER]],Table3[],2,0),"")</f>
        <v>SABIT</v>
      </c>
      <c r="H67" s="9" t="s">
        <v>13</v>
      </c>
      <c r="I67" s="9">
        <v>0</v>
      </c>
      <c r="J67" s="9">
        <v>0</v>
      </c>
      <c r="K67" s="9"/>
      <c r="L67" s="9"/>
      <c r="M67" s="9"/>
      <c r="N67" s="9"/>
    </row>
    <row r="68" spans="1:14">
      <c r="A68" s="12" t="str">
        <f t="shared" si="3"/>
        <v>05,10,2026</v>
      </c>
      <c r="B68" s="19" t="s">
        <v>152</v>
      </c>
      <c r="C68" s="9">
        <v>26167981</v>
      </c>
      <c r="D68" s="9">
        <v>153451</v>
      </c>
      <c r="E68" s="9" t="s">
        <v>20</v>
      </c>
      <c r="F68" s="9">
        <v>1.2</v>
      </c>
      <c r="G68" s="20" t="str">
        <f>IFERROR(VLOOKUP(Table1[[#This Row],[CODE OFIS BROKER]],Table3[],2,0),"")</f>
        <v>AHMET</v>
      </c>
      <c r="H68" s="9" t="s">
        <v>13</v>
      </c>
      <c r="I68" s="9">
        <v>0</v>
      </c>
      <c r="J68" s="9">
        <v>0</v>
      </c>
      <c r="K68" s="9"/>
      <c r="L68" s="9"/>
      <c r="M68" s="9"/>
      <c r="N68" s="9"/>
    </row>
    <row r="69" spans="1:14">
      <c r="A69" s="12" t="str">
        <f t="shared" si="3"/>
        <v>05,10,2026</v>
      </c>
      <c r="B69" s="19" t="s">
        <v>153</v>
      </c>
      <c r="C69" s="9">
        <v>26167983</v>
      </c>
      <c r="D69" s="9">
        <v>150001</v>
      </c>
      <c r="E69" s="9" t="s">
        <v>20</v>
      </c>
      <c r="F69" s="9">
        <v>1.23</v>
      </c>
      <c r="G69" s="20" t="str">
        <f>IFERROR(VLOOKUP(Table1[[#This Row],[CODE OFIS BROKER]],Table3[],2,0),"")</f>
        <v>SABIT</v>
      </c>
      <c r="H69" s="9" t="s">
        <v>13</v>
      </c>
      <c r="I69" s="9">
        <v>0</v>
      </c>
      <c r="J69" s="9">
        <v>0</v>
      </c>
      <c r="K69" s="9"/>
      <c r="L69" s="9"/>
      <c r="M69" s="9"/>
      <c r="N69" s="9"/>
    </row>
    <row r="70" spans="1:14">
      <c r="A70" s="12" t="str">
        <f t="shared" si="3"/>
        <v>05,10,2026</v>
      </c>
      <c r="B70" s="19" t="s">
        <v>154</v>
      </c>
      <c r="C70" s="9">
        <v>26167986</v>
      </c>
      <c r="D70" s="9">
        <v>140051</v>
      </c>
      <c r="E70" s="9" t="s">
        <v>89</v>
      </c>
      <c r="F70" s="9">
        <v>4.0999999999999996</v>
      </c>
      <c r="G70" s="20" t="str">
        <f>IFERROR(VLOOKUP(Table1[[#This Row],[CODE OFIS BROKER]],Table3[],2,0),"")</f>
        <v xml:space="preserve">SEVGIN </v>
      </c>
      <c r="H70" s="9" t="s">
        <v>13</v>
      </c>
      <c r="I70" s="9">
        <v>0</v>
      </c>
      <c r="J70" s="9">
        <v>0</v>
      </c>
      <c r="K70" s="9"/>
      <c r="L70" s="9"/>
      <c r="M70" s="9"/>
      <c r="N70" s="9"/>
    </row>
    <row r="71" spans="1:14">
      <c r="A71" s="12" t="str">
        <f t="shared" si="3"/>
        <v>05,10,2026</v>
      </c>
      <c r="B71" s="19" t="s">
        <v>155</v>
      </c>
      <c r="C71" s="9">
        <v>26167991</v>
      </c>
      <c r="D71" s="9">
        <v>151237</v>
      </c>
      <c r="E71" s="9" t="s">
        <v>20</v>
      </c>
      <c r="F71" s="9">
        <v>1.5</v>
      </c>
      <c r="G71" s="20" t="str">
        <f>IFERROR(VLOOKUP(Table1[[#This Row],[CODE OFIS BROKER]],Table3[],2,0),"")</f>
        <v>BURHAN</v>
      </c>
      <c r="H71" s="9" t="s">
        <v>13</v>
      </c>
      <c r="I71" s="9">
        <v>0</v>
      </c>
      <c r="J71" s="9">
        <v>0</v>
      </c>
      <c r="K71" s="9"/>
      <c r="L71" s="9"/>
      <c r="M71" s="9"/>
      <c r="N71" s="9"/>
    </row>
    <row r="72" spans="1:14">
      <c r="A72" s="12" t="str">
        <f t="shared" si="3"/>
        <v>05,10,2026</v>
      </c>
      <c r="B72" s="19" t="s">
        <v>156</v>
      </c>
      <c r="C72" s="9">
        <v>26167997</v>
      </c>
      <c r="D72" s="9">
        <v>156336</v>
      </c>
      <c r="E72" s="9" t="s">
        <v>20</v>
      </c>
      <c r="F72" s="9">
        <v>4.0999999999999996</v>
      </c>
      <c r="G72" s="20" t="str">
        <f>IFERROR(VLOOKUP(Table1[[#This Row],[CODE OFIS BROKER]],Table3[],2,0),"")</f>
        <v xml:space="preserve">SEVGIN </v>
      </c>
      <c r="H72" s="9" t="s">
        <v>13</v>
      </c>
      <c r="I72" s="9">
        <v>0</v>
      </c>
      <c r="J72" s="9">
        <v>0</v>
      </c>
      <c r="K72" s="9"/>
      <c r="L72" s="9"/>
      <c r="M72" s="9"/>
      <c r="N72" s="9"/>
    </row>
    <row r="73" spans="1:14">
      <c r="A73" s="12" t="str">
        <f t="shared" si="3"/>
        <v>05,10,2026</v>
      </c>
      <c r="B73" s="19" t="s">
        <v>157</v>
      </c>
      <c r="C73" s="9">
        <v>26168015</v>
      </c>
      <c r="D73" s="9">
        <v>138779</v>
      </c>
      <c r="E73" s="19" t="s">
        <v>20</v>
      </c>
      <c r="F73" s="9">
        <v>2.21</v>
      </c>
      <c r="G73" s="20" t="str">
        <f>IFERROR(VLOOKUP(Table1[[#This Row],[CODE OFIS BROKER]],Table3[],2,0),"")</f>
        <v>ERCAN SEVER</v>
      </c>
      <c r="H73" s="9" t="s">
        <v>13</v>
      </c>
      <c r="I73" s="9">
        <v>0</v>
      </c>
      <c r="J73" s="9">
        <v>0</v>
      </c>
      <c r="K73" s="9"/>
      <c r="L73" s="9"/>
      <c r="M73" s="9"/>
      <c r="N73" s="9"/>
    </row>
    <row r="74" spans="1:14">
      <c r="A74" s="12" t="str">
        <f t="shared" si="3"/>
        <v>05,10,2026</v>
      </c>
      <c r="B74" s="19" t="s">
        <v>158</v>
      </c>
      <c r="C74" s="9">
        <v>26168020</v>
      </c>
      <c r="D74" s="9">
        <v>140033</v>
      </c>
      <c r="E74" s="19" t="s">
        <v>90</v>
      </c>
      <c r="F74" s="9">
        <v>4.0999999999999996</v>
      </c>
      <c r="G74" s="20" t="str">
        <f>IFERROR(VLOOKUP(Table1[[#This Row],[CODE OFIS BROKER]],Table3[],2,0),"")</f>
        <v xml:space="preserve">SEVGIN </v>
      </c>
      <c r="H74" s="9" t="s">
        <v>13</v>
      </c>
      <c r="I74" s="9">
        <v>0</v>
      </c>
      <c r="J74" s="9">
        <v>0</v>
      </c>
      <c r="K74" s="9"/>
      <c r="L74" s="9"/>
      <c r="M74" s="9"/>
      <c r="N74" s="9"/>
    </row>
    <row r="75" spans="1:14">
      <c r="A75" s="12" t="str">
        <f t="shared" si="3"/>
        <v>05,10,2026</v>
      </c>
      <c r="B75" s="19" t="s">
        <v>159</v>
      </c>
      <c r="C75" s="9">
        <v>26168024</v>
      </c>
      <c r="D75" s="9">
        <v>153453</v>
      </c>
      <c r="E75" s="19" t="s">
        <v>20</v>
      </c>
      <c r="F75" s="9">
        <v>1.2</v>
      </c>
      <c r="G75" s="20" t="str">
        <f>IFERROR(VLOOKUP(Table1[[#This Row],[CODE OFIS BROKER]],Table3[],2,0),"")</f>
        <v>AHMET</v>
      </c>
      <c r="H75" s="9" t="s">
        <v>13</v>
      </c>
      <c r="I75" s="9">
        <v>0</v>
      </c>
      <c r="J75" s="9">
        <v>0</v>
      </c>
      <c r="K75" s="9"/>
      <c r="L75" s="9"/>
      <c r="M75" s="9"/>
      <c r="N75" s="9"/>
    </row>
    <row r="76" spans="1:14">
      <c r="A76" s="12" t="str">
        <f t="shared" si="3"/>
        <v>05,10,2026</v>
      </c>
      <c r="B76" s="19" t="s">
        <v>160</v>
      </c>
      <c r="C76" s="9">
        <v>26168028</v>
      </c>
      <c r="D76" s="9">
        <v>151496</v>
      </c>
      <c r="E76" s="19" t="s">
        <v>20</v>
      </c>
      <c r="F76" s="9">
        <v>1.22</v>
      </c>
      <c r="G76" s="20" t="str">
        <f>IFERROR(VLOOKUP(Table1[[#This Row],[CODE OFIS BROKER]],Table3[],2,0),"")</f>
        <v>AZZIS</v>
      </c>
      <c r="H76" s="9" t="s">
        <v>13</v>
      </c>
      <c r="I76" s="9">
        <v>0</v>
      </c>
      <c r="J76" s="9">
        <v>0</v>
      </c>
      <c r="K76" s="9"/>
      <c r="L76" s="9"/>
      <c r="M76" s="9"/>
      <c r="N76" s="9"/>
    </row>
    <row r="77" spans="1:14">
      <c r="A77" s="12" t="str">
        <f t="shared" si="3"/>
        <v>05,10,2026</v>
      </c>
      <c r="B77" s="19" t="s">
        <v>161</v>
      </c>
      <c r="C77" s="9">
        <v>26168033</v>
      </c>
      <c r="D77" s="9">
        <v>149016</v>
      </c>
      <c r="E77" s="19" t="s">
        <v>20</v>
      </c>
      <c r="F77" s="9">
        <v>1.29</v>
      </c>
      <c r="G77" s="20" t="str">
        <f>IFERROR(VLOOKUP(Table1[[#This Row],[CODE OFIS BROKER]],Table3[],2,0),"")</f>
        <v>ISMAYL</v>
      </c>
      <c r="H77" s="9" t="s">
        <v>13</v>
      </c>
      <c r="I77" s="9">
        <v>0</v>
      </c>
      <c r="J77" s="9">
        <v>0</v>
      </c>
      <c r="K77" s="9"/>
      <c r="L77" s="9"/>
      <c r="M77" s="9"/>
      <c r="N77" s="9"/>
    </row>
    <row r="78" spans="1:14">
      <c r="A78" s="12" t="str">
        <f t="shared" si="3"/>
        <v>05,10,2026</v>
      </c>
      <c r="B78" s="19" t="s">
        <v>162</v>
      </c>
      <c r="C78" s="9">
        <v>26168037</v>
      </c>
      <c r="D78" s="9">
        <v>139973</v>
      </c>
      <c r="E78" s="19" t="s">
        <v>20</v>
      </c>
      <c r="F78" s="9">
        <v>4.0999999999999996</v>
      </c>
      <c r="G78" s="20" t="str">
        <f>IFERROR(VLOOKUP(Table1[[#This Row],[CODE OFIS BROKER]],Table3[],2,0),"")</f>
        <v xml:space="preserve">SEVGIN </v>
      </c>
      <c r="H78" s="9" t="s">
        <v>13</v>
      </c>
      <c r="I78" s="9">
        <v>0</v>
      </c>
      <c r="J78" s="9">
        <v>0</v>
      </c>
      <c r="K78" s="9"/>
      <c r="L78" s="9"/>
      <c r="M78" s="9"/>
      <c r="N78" s="9"/>
    </row>
    <row r="79" spans="1:14">
      <c r="A79" s="12" t="str">
        <f t="shared" si="3"/>
        <v>05,10,2026</v>
      </c>
      <c r="B79" s="19" t="s">
        <v>163</v>
      </c>
      <c r="C79" s="9">
        <v>26168040</v>
      </c>
      <c r="D79" s="9">
        <v>139974</v>
      </c>
      <c r="E79" s="19" t="s">
        <v>89</v>
      </c>
      <c r="F79" s="9">
        <v>4.0999999999999996</v>
      </c>
      <c r="G79" s="20" t="str">
        <f>IFERROR(VLOOKUP(Table1[[#This Row],[CODE OFIS BROKER]],Table3[],2,0),"")</f>
        <v xml:space="preserve">SEVGIN </v>
      </c>
      <c r="H79" s="9" t="s">
        <v>13</v>
      </c>
      <c r="I79" s="9">
        <v>0</v>
      </c>
      <c r="J79" s="9">
        <v>0</v>
      </c>
      <c r="K79" s="9"/>
      <c r="L79" s="9"/>
      <c r="M79" s="9"/>
      <c r="N79" s="9"/>
    </row>
    <row r="80" spans="1:14">
      <c r="A80" s="12" t="str">
        <f t="shared" si="3"/>
        <v>05,10,2026</v>
      </c>
      <c r="B80" s="19" t="s">
        <v>164</v>
      </c>
      <c r="C80" s="9">
        <v>26168053</v>
      </c>
      <c r="D80" s="9">
        <v>139975</v>
      </c>
      <c r="E80" s="19" t="s">
        <v>89</v>
      </c>
      <c r="F80" s="9">
        <v>4.0999999999999996</v>
      </c>
      <c r="G80" s="20" t="str">
        <f>IFERROR(VLOOKUP(Table1[[#This Row],[CODE OFIS BROKER]],Table3[],2,0),"")</f>
        <v xml:space="preserve">SEVGIN </v>
      </c>
      <c r="H80" s="9" t="s">
        <v>13</v>
      </c>
      <c r="I80" s="9">
        <v>0</v>
      </c>
      <c r="J80" s="9">
        <v>0</v>
      </c>
      <c r="K80" s="9"/>
      <c r="L80" s="9"/>
      <c r="M80" s="9"/>
      <c r="N80" s="9"/>
    </row>
    <row r="81" spans="1:14">
      <c r="A81" s="12" t="str">
        <f t="shared" si="3"/>
        <v>05,10,2026</v>
      </c>
      <c r="B81" s="19" t="s">
        <v>165</v>
      </c>
      <c r="C81" s="9">
        <v>26168059</v>
      </c>
      <c r="D81" s="9">
        <v>167812</v>
      </c>
      <c r="E81" s="19" t="s">
        <v>20</v>
      </c>
      <c r="F81" s="9">
        <v>1.1499999999999999</v>
      </c>
      <c r="G81" s="20" t="str">
        <f>IFERROR(VLOOKUP(Table1[[#This Row],[CODE OFIS BROKER]],Table3[],2,0),"")</f>
        <v>NEJAT</v>
      </c>
      <c r="H81" s="9" t="s">
        <v>13</v>
      </c>
      <c r="I81" s="9">
        <v>0</v>
      </c>
      <c r="J81" s="9">
        <v>0</v>
      </c>
      <c r="K81" s="9"/>
      <c r="L81" s="9"/>
      <c r="M81" s="9"/>
      <c r="N81" s="9"/>
    </row>
    <row r="82" spans="1:14">
      <c r="A82" s="12" t="str">
        <f t="shared" si="3"/>
        <v>05,10,2026</v>
      </c>
      <c r="B82" s="19" t="s">
        <v>166</v>
      </c>
      <c r="C82" s="9">
        <v>26168068</v>
      </c>
      <c r="D82" s="9">
        <v>151497</v>
      </c>
      <c r="E82" s="19" t="s">
        <v>20</v>
      </c>
      <c r="F82" s="9">
        <v>1.22</v>
      </c>
      <c r="G82" s="20" t="str">
        <f>IFERROR(VLOOKUP(Table1[[#This Row],[CODE OFIS BROKER]],Table3[],2,0),"")</f>
        <v>AZZIS</v>
      </c>
      <c r="H82" s="9" t="s">
        <v>13</v>
      </c>
      <c r="I82" s="9">
        <v>0</v>
      </c>
      <c r="J82" s="9">
        <v>0</v>
      </c>
      <c r="K82" s="9"/>
      <c r="L82" s="9"/>
      <c r="M82" s="9"/>
      <c r="N82" s="9"/>
    </row>
    <row r="83" spans="1:14">
      <c r="A83" s="12" t="str">
        <f t="shared" si="3"/>
        <v>05,10,2026</v>
      </c>
      <c r="B83" s="19" t="s">
        <v>167</v>
      </c>
      <c r="C83" s="9">
        <v>26168070</v>
      </c>
      <c r="D83" s="9">
        <v>167814</v>
      </c>
      <c r="E83" s="19" t="s">
        <v>20</v>
      </c>
      <c r="F83" s="9">
        <v>1.1499999999999999</v>
      </c>
      <c r="G83" s="20" t="str">
        <f>IFERROR(VLOOKUP(Table1[[#This Row],[CODE OFIS BROKER]],Table3[],2,0),"")</f>
        <v>NEJAT</v>
      </c>
      <c r="H83" s="9" t="s">
        <v>13</v>
      </c>
      <c r="I83" s="9">
        <v>0</v>
      </c>
      <c r="J83" s="9">
        <v>0</v>
      </c>
      <c r="K83" s="9"/>
      <c r="L83" s="9"/>
      <c r="M83" s="9"/>
      <c r="N83" s="9"/>
    </row>
    <row r="84" spans="1:14">
      <c r="A84" s="12" t="str">
        <f t="shared" si="3"/>
        <v>05,10,2026</v>
      </c>
      <c r="B84" s="19" t="s">
        <v>168</v>
      </c>
      <c r="C84" s="9">
        <v>26168074</v>
      </c>
      <c r="D84" s="9">
        <v>153308</v>
      </c>
      <c r="E84" s="19" t="s">
        <v>20</v>
      </c>
      <c r="F84" s="9">
        <v>1.18</v>
      </c>
      <c r="G84" s="20" t="str">
        <f>IFERROR(VLOOKUP(Table1[[#This Row],[CODE OFIS BROKER]],Table3[],2,0),"")</f>
        <v>EROL</v>
      </c>
      <c r="H84" s="9" t="s">
        <v>13</v>
      </c>
      <c r="I84" s="9">
        <v>0</v>
      </c>
      <c r="J84" s="9">
        <v>0</v>
      </c>
      <c r="K84" s="9"/>
      <c r="L84" s="9"/>
      <c r="M84" s="9"/>
      <c r="N84" s="9"/>
    </row>
    <row r="85" spans="1:14">
      <c r="A85" s="12" t="str">
        <f t="shared" ref="A85:A94" si="4">$B$9</f>
        <v>05,10,2026</v>
      </c>
      <c r="B85" s="19" t="s">
        <v>169</v>
      </c>
      <c r="C85" s="9">
        <v>26168083</v>
      </c>
      <c r="D85" s="9">
        <v>167815</v>
      </c>
      <c r="E85" s="19" t="s">
        <v>20</v>
      </c>
      <c r="F85" s="9">
        <v>1.1499999999999999</v>
      </c>
      <c r="G85" s="20" t="str">
        <f>IFERROR(VLOOKUP(Table1[[#This Row],[CODE OFIS BROKER]],Table3[],2,0),"")</f>
        <v>NEJAT</v>
      </c>
      <c r="H85" s="9" t="s">
        <v>13</v>
      </c>
      <c r="I85" s="9">
        <v>0</v>
      </c>
      <c r="J85" s="9">
        <v>0</v>
      </c>
      <c r="K85" s="9"/>
      <c r="L85" s="9"/>
      <c r="M85" s="9"/>
      <c r="N85" s="9"/>
    </row>
    <row r="86" spans="1:14">
      <c r="A86" s="12" t="str">
        <f t="shared" si="4"/>
        <v>05,10,2026</v>
      </c>
      <c r="B86" s="19" t="s">
        <v>170</v>
      </c>
      <c r="C86" s="9">
        <v>26168086</v>
      </c>
      <c r="D86" s="9">
        <v>151498</v>
      </c>
      <c r="E86" s="19" t="s">
        <v>20</v>
      </c>
      <c r="F86" s="9">
        <v>1.22</v>
      </c>
      <c r="G86" s="20" t="str">
        <f>IFERROR(VLOOKUP(Table1[[#This Row],[CODE OFIS BROKER]],Table3[],2,0),"")</f>
        <v>AZZIS</v>
      </c>
      <c r="H86" s="9" t="s">
        <v>13</v>
      </c>
      <c r="I86" s="9">
        <v>0</v>
      </c>
      <c r="J86" s="9">
        <v>0</v>
      </c>
      <c r="K86" s="9"/>
      <c r="L86" s="9"/>
      <c r="M86" s="9"/>
      <c r="N86" s="9"/>
    </row>
    <row r="87" spans="1:14">
      <c r="A87" s="12" t="str">
        <f t="shared" si="4"/>
        <v>05,10,2026</v>
      </c>
      <c r="B87" s="19" t="s">
        <v>171</v>
      </c>
      <c r="C87" s="9">
        <v>26168088</v>
      </c>
      <c r="D87" s="9">
        <v>167816</v>
      </c>
      <c r="E87" s="19" t="s">
        <v>20</v>
      </c>
      <c r="F87" s="9">
        <v>1.1499999999999999</v>
      </c>
      <c r="G87" s="20" t="str">
        <f>IFERROR(VLOOKUP(Table1[[#This Row],[CODE OFIS BROKER]],Table3[],2,0),"")</f>
        <v>NEJAT</v>
      </c>
      <c r="H87" s="9" t="s">
        <v>13</v>
      </c>
      <c r="I87" s="9">
        <v>0</v>
      </c>
      <c r="J87" s="9">
        <v>0</v>
      </c>
      <c r="K87" s="9"/>
      <c r="L87" s="9"/>
      <c r="M87" s="9"/>
      <c r="N87" s="9"/>
    </row>
    <row r="88" spans="1:14">
      <c r="A88" s="12" t="str">
        <f t="shared" si="4"/>
        <v>05,10,2026</v>
      </c>
      <c r="B88" s="19" t="s">
        <v>172</v>
      </c>
      <c r="C88" s="9">
        <v>26168097</v>
      </c>
      <c r="D88" s="9">
        <v>151577</v>
      </c>
      <c r="E88" s="19" t="s">
        <v>20</v>
      </c>
      <c r="F88" s="9">
        <v>3.4</v>
      </c>
      <c r="G88" s="20" t="str">
        <f>IFERROR(VLOOKUP(Table1[[#This Row],[CODE OFIS BROKER]],Table3[],2,0),"")</f>
        <v>SIGORTA BULGOC</v>
      </c>
      <c r="H88" s="9" t="s">
        <v>13</v>
      </c>
      <c r="I88" s="9">
        <v>0</v>
      </c>
      <c r="J88" s="9">
        <v>0</v>
      </c>
      <c r="K88" s="9"/>
      <c r="L88" s="9"/>
      <c r="M88" s="9"/>
      <c r="N88" s="9"/>
    </row>
    <row r="89" spans="1:14">
      <c r="A89" s="12" t="str">
        <f t="shared" si="4"/>
        <v>05,10,2026</v>
      </c>
      <c r="B89" s="19" t="s">
        <v>173</v>
      </c>
      <c r="C89" s="9">
        <v>26168102</v>
      </c>
      <c r="D89" s="9">
        <v>151634</v>
      </c>
      <c r="E89" s="19" t="s">
        <v>89</v>
      </c>
      <c r="F89" s="9">
        <v>3.4</v>
      </c>
      <c r="G89" s="20" t="str">
        <f>IFERROR(VLOOKUP(Table1[[#This Row],[CODE OFIS BROKER]],Table3[],2,0),"")</f>
        <v>SIGORTA BULGOC</v>
      </c>
      <c r="H89" s="9" t="s">
        <v>13</v>
      </c>
      <c r="I89" s="9">
        <v>0</v>
      </c>
      <c r="J89" s="9">
        <v>0</v>
      </c>
      <c r="K89" s="9"/>
      <c r="L89" s="9"/>
      <c r="M89" s="9"/>
      <c r="N89" s="9"/>
    </row>
    <row r="90" spans="1:14">
      <c r="A90" s="12" t="str">
        <f t="shared" si="4"/>
        <v>05,10,2026</v>
      </c>
      <c r="B90" s="19" t="s">
        <v>174</v>
      </c>
      <c r="C90" s="9">
        <v>26168105</v>
      </c>
      <c r="D90" s="9">
        <v>140034</v>
      </c>
      <c r="E90" s="19" t="s">
        <v>20</v>
      </c>
      <c r="F90" s="9">
        <v>4.0999999999999996</v>
      </c>
      <c r="G90" s="20" t="str">
        <f>IFERROR(VLOOKUP(Table1[[#This Row],[CODE OFIS BROKER]],Table3[],2,0),"")</f>
        <v xml:space="preserve">SEVGIN </v>
      </c>
      <c r="H90" s="9" t="s">
        <v>13</v>
      </c>
      <c r="I90" s="9">
        <v>0</v>
      </c>
      <c r="J90" s="9">
        <v>0</v>
      </c>
      <c r="K90" s="9"/>
      <c r="L90" s="9"/>
      <c r="M90" s="9"/>
      <c r="N90" s="9"/>
    </row>
    <row r="91" spans="1:14">
      <c r="A91" s="12" t="str">
        <f t="shared" si="4"/>
        <v>05,10,2026</v>
      </c>
      <c r="B91" s="19">
        <v>59794</v>
      </c>
      <c r="C91" s="9">
        <v>26168109</v>
      </c>
      <c r="D91" s="9">
        <v>148378</v>
      </c>
      <c r="E91" s="19" t="s">
        <v>89</v>
      </c>
      <c r="F91" s="9">
        <v>3.6</v>
      </c>
      <c r="G91" s="20" t="str">
        <f>IFERROR(VLOOKUP(Table1[[#This Row],[CODE OFIS BROKER]],Table3[],2,0),"")</f>
        <v>VARNA</v>
      </c>
      <c r="H91" s="9" t="s">
        <v>13</v>
      </c>
      <c r="I91" s="9">
        <v>0</v>
      </c>
      <c r="J91" s="9">
        <v>0</v>
      </c>
      <c r="K91" s="9"/>
      <c r="L91" s="9"/>
      <c r="M91" s="9"/>
      <c r="N91" s="9"/>
    </row>
    <row r="92" spans="1:14">
      <c r="A92" s="12" t="str">
        <f t="shared" si="4"/>
        <v>05,10,2026</v>
      </c>
      <c r="B92" s="19" t="s">
        <v>175</v>
      </c>
      <c r="C92" s="9">
        <v>26168117</v>
      </c>
      <c r="D92" s="9">
        <v>153782</v>
      </c>
      <c r="E92" s="19" t="s">
        <v>20</v>
      </c>
      <c r="F92" s="9">
        <v>1.6</v>
      </c>
      <c r="G92" s="20" t="str">
        <f>IFERROR(VLOOKUP(Table1[[#This Row],[CODE OFIS BROKER]],Table3[],2,0),"")</f>
        <v>ZEYTINBURNU</v>
      </c>
      <c r="H92" s="9" t="s">
        <v>13</v>
      </c>
      <c r="I92" s="9">
        <v>0</v>
      </c>
      <c r="J92" s="9">
        <v>0</v>
      </c>
      <c r="K92" s="9"/>
      <c r="L92" s="9"/>
      <c r="M92" s="9"/>
      <c r="N92" s="9"/>
    </row>
    <row r="93" spans="1:14">
      <c r="A93" s="12" t="str">
        <f t="shared" si="4"/>
        <v>05,10,2026</v>
      </c>
      <c r="B93" s="19" t="s">
        <v>176</v>
      </c>
      <c r="C93" s="9">
        <v>26168120</v>
      </c>
      <c r="D93" s="9">
        <v>144094</v>
      </c>
      <c r="E93" s="19" t="s">
        <v>89</v>
      </c>
      <c r="F93" s="9">
        <v>4.0999999999999996</v>
      </c>
      <c r="G93" s="20" t="str">
        <f>IFERROR(VLOOKUP(Table1[[#This Row],[CODE OFIS BROKER]],Table3[],2,0),"")</f>
        <v xml:space="preserve">SEVGIN </v>
      </c>
      <c r="H93" s="9" t="s">
        <v>13</v>
      </c>
      <c r="I93" s="9">
        <v>0</v>
      </c>
      <c r="J93" s="9">
        <v>0</v>
      </c>
      <c r="K93" s="9"/>
      <c r="L93" s="9"/>
      <c r="M93" s="9"/>
      <c r="N93" s="9"/>
    </row>
    <row r="94" spans="1:14">
      <c r="A94" s="12" t="str">
        <f t="shared" si="4"/>
        <v>05,10,2026</v>
      </c>
      <c r="B94" s="19" t="s">
        <v>177</v>
      </c>
      <c r="C94" s="9">
        <v>26168127</v>
      </c>
      <c r="D94" s="9">
        <v>150005</v>
      </c>
      <c r="E94" s="9" t="s">
        <v>20</v>
      </c>
      <c r="F94" s="9">
        <v>1.23</v>
      </c>
      <c r="G94" s="20" t="str">
        <f>IFERROR(VLOOKUP(Table1[[#This Row],[CODE OFIS BROKER]],Table3[],2,0),"")</f>
        <v>SABIT</v>
      </c>
      <c r="H94" s="9" t="s">
        <v>13</v>
      </c>
      <c r="I94" s="9">
        <v>0</v>
      </c>
      <c r="J94" s="9">
        <v>0</v>
      </c>
      <c r="K94" s="9"/>
      <c r="L94" s="9"/>
      <c r="M94" s="9"/>
      <c r="N94" s="9"/>
    </row>
    <row r="95" spans="1:14">
      <c r="A95" s="12" t="str">
        <f t="shared" si="0"/>
        <v>05,10,2026</v>
      </c>
      <c r="B95" s="9" t="s">
        <v>178</v>
      </c>
      <c r="C95" s="9">
        <v>26168129</v>
      </c>
      <c r="D95" s="9">
        <v>150006</v>
      </c>
      <c r="E95" s="9" t="s">
        <v>20</v>
      </c>
      <c r="F95" s="9">
        <v>1.23</v>
      </c>
      <c r="G95" s="10" t="str">
        <f>IFERROR(VLOOKUP(Table1[[#This Row],[CODE OFIS BROKER]],Table3[],2,0),"")</f>
        <v>SABIT</v>
      </c>
      <c r="H95" s="9" t="s">
        <v>13</v>
      </c>
      <c r="I95" s="9">
        <v>0</v>
      </c>
      <c r="J95" s="9">
        <v>0</v>
      </c>
      <c r="K95" s="9"/>
      <c r="L95" s="9"/>
      <c r="M95" s="9"/>
      <c r="N95" s="9"/>
    </row>
    <row r="96" spans="1:14">
      <c r="A96" s="12" t="str">
        <f t="shared" si="0"/>
        <v>05,10,2026</v>
      </c>
      <c r="B96" s="9"/>
      <c r="C96" s="9"/>
      <c r="D96" s="9"/>
      <c r="E96" s="9"/>
      <c r="F96" s="9"/>
      <c r="G96" s="10" t="str">
        <f>IFERROR(VLOOKUP(Table1[[#This Row],[CODE OFIS BROKER]],Table3[],2,0),"")</f>
        <v/>
      </c>
      <c r="H96" s="9" t="s">
        <v>13</v>
      </c>
      <c r="I96" s="9"/>
      <c r="J96" s="9"/>
      <c r="K96" s="9"/>
      <c r="L96" s="9"/>
      <c r="M96" s="9"/>
      <c r="N96" s="9"/>
    </row>
    <row r="97" spans="1:14">
      <c r="A97" s="12" t="str">
        <f t="shared" si="0"/>
        <v>05,10,2026</v>
      </c>
      <c r="B97" s="9"/>
      <c r="C97" s="9"/>
      <c r="D97" s="9"/>
      <c r="E97" s="9"/>
      <c r="F97" s="9"/>
      <c r="G97" s="10" t="str">
        <f>IFERROR(VLOOKUP(Table1[[#This Row],[CODE OFIS BROKER]],Table3[],2,0),"")</f>
        <v/>
      </c>
      <c r="H97" s="9" t="s">
        <v>13</v>
      </c>
      <c r="I97" s="9"/>
      <c r="J97" s="9"/>
      <c r="K97" s="9"/>
      <c r="L97" s="9"/>
      <c r="M97" s="9"/>
      <c r="N97" s="9"/>
    </row>
    <row r="98" spans="1:14">
      <c r="A98" s="12" t="str">
        <f t="shared" si="0"/>
        <v>05,10,2026</v>
      </c>
      <c r="B98" s="9"/>
      <c r="C98" s="9"/>
      <c r="D98" s="9"/>
      <c r="E98" s="9"/>
      <c r="F98" s="9"/>
      <c r="G98" s="10" t="str">
        <f>IFERROR(VLOOKUP(Table1[[#This Row],[CODE OFIS BROKER]],Table3[],2,0),"")</f>
        <v/>
      </c>
      <c r="H98" s="9" t="s">
        <v>13</v>
      </c>
      <c r="I98" s="9"/>
      <c r="J98" s="9"/>
      <c r="K98" s="9"/>
      <c r="L98" s="9"/>
      <c r="M98" s="9"/>
      <c r="N98" s="9"/>
    </row>
    <row r="99" spans="1:14">
      <c r="A99" s="12" t="str">
        <f t="shared" si="0"/>
        <v>05,10,2026</v>
      </c>
      <c r="B99" s="9"/>
      <c r="C99" s="9"/>
      <c r="D99" s="9"/>
      <c r="E99" s="9"/>
      <c r="F99" s="9"/>
      <c r="G99" s="10" t="str">
        <f>IFERROR(VLOOKUP(Table1[[#This Row],[CODE OFIS BROKER]],Table3[],2,0),"")</f>
        <v/>
      </c>
      <c r="H99" s="9" t="s">
        <v>13</v>
      </c>
      <c r="I99" s="9"/>
      <c r="J99" s="9"/>
      <c r="K99" s="9"/>
      <c r="L99" s="9"/>
      <c r="M99" s="9"/>
      <c r="N99" s="9"/>
    </row>
    <row r="100" spans="1:14">
      <c r="A100" s="12" t="str">
        <f t="shared" si="0"/>
        <v>05,10,2026</v>
      </c>
      <c r="B100" s="9"/>
      <c r="C100" s="9"/>
      <c r="D100" s="9"/>
      <c r="E100" s="9"/>
      <c r="F100" s="9"/>
      <c r="G100" s="10" t="str">
        <f>IFERROR(VLOOKUP(Table1[[#This Row],[CODE OFIS BROKER]],Table3[],2,0),"")</f>
        <v/>
      </c>
      <c r="H100" s="9" t="s">
        <v>13</v>
      </c>
      <c r="I100" s="9"/>
      <c r="J100" s="9"/>
      <c r="K100" s="9"/>
      <c r="L100" s="9"/>
      <c r="M100" s="9"/>
      <c r="N100" s="9"/>
    </row>
    <row r="101" spans="1:14">
      <c r="A101" s="12" t="str">
        <f t="shared" si="0"/>
        <v>05,10,2026</v>
      </c>
      <c r="B101" s="9"/>
      <c r="C101" s="9"/>
      <c r="D101" s="9"/>
      <c r="E101" s="9"/>
      <c r="F101" s="9"/>
      <c r="G101" s="10" t="str">
        <f>IFERROR(VLOOKUP(Table1[[#This Row],[CODE OFIS BROKER]],Table3[],2,0),"")</f>
        <v/>
      </c>
      <c r="H101" s="9" t="s">
        <v>13</v>
      </c>
      <c r="I101" s="9"/>
      <c r="J101" s="9"/>
      <c r="K101" s="9"/>
      <c r="L101" s="9"/>
      <c r="M101" s="9"/>
      <c r="N101" s="9"/>
    </row>
    <row r="102" spans="1:14">
      <c r="A102" s="12" t="str">
        <f t="shared" si="0"/>
        <v>05,10,2026</v>
      </c>
      <c r="B102" s="9"/>
      <c r="C102" s="9"/>
      <c r="D102" s="9"/>
      <c r="E102" s="9"/>
      <c r="F102" s="9"/>
      <c r="G102" s="10" t="str">
        <f>IFERROR(VLOOKUP(Table1[[#This Row],[CODE OFIS BROKER]],Table3[],2,0),"")</f>
        <v/>
      </c>
      <c r="H102" s="9" t="s">
        <v>13</v>
      </c>
      <c r="I102" s="9"/>
      <c r="J102" s="9"/>
      <c r="K102" s="9"/>
      <c r="L102" s="9"/>
      <c r="M102" s="9"/>
      <c r="N102" s="9"/>
    </row>
    <row r="103" spans="1:14">
      <c r="A103" s="12" t="str">
        <f t="shared" si="0"/>
        <v>05,10,2026</v>
      </c>
      <c r="B103" s="9"/>
      <c r="C103" s="9"/>
      <c r="D103" s="9"/>
      <c r="E103" s="9"/>
      <c r="F103" s="9"/>
      <c r="G103" s="10" t="str">
        <f>IFERROR(VLOOKUP(Table1[[#This Row],[CODE OFIS BROKER]],Table3[],2,0),"")</f>
        <v/>
      </c>
      <c r="H103" s="9" t="s">
        <v>13</v>
      </c>
      <c r="I103" s="9"/>
      <c r="J103" s="9"/>
      <c r="K103" s="9"/>
      <c r="L103" s="9"/>
      <c r="M103" s="9"/>
      <c r="N103" s="9"/>
    </row>
    <row r="104" spans="1:14">
      <c r="A104" s="12" t="str">
        <f t="shared" si="0"/>
        <v>05,10,2026</v>
      </c>
      <c r="B104" s="9"/>
      <c r="C104" s="9"/>
      <c r="D104" s="9"/>
      <c r="E104" s="9"/>
      <c r="F104" s="9"/>
      <c r="G104" s="10" t="str">
        <f>IFERROR(VLOOKUP(Table1[[#This Row],[CODE OFIS BROKER]],Table3[],2,0),"")</f>
        <v/>
      </c>
      <c r="H104" s="9" t="s">
        <v>13</v>
      </c>
      <c r="I104" s="9"/>
      <c r="J104" s="9"/>
      <c r="K104" s="9"/>
      <c r="L104" s="9"/>
      <c r="M104" s="9"/>
      <c r="N104" s="9"/>
    </row>
    <row r="105" spans="1:14">
      <c r="A105" s="7" t="s">
        <v>21</v>
      </c>
      <c r="B105" s="7">
        <f>SUBTOTAL(103,Table1[ДКН])</f>
        <v>81</v>
      </c>
      <c r="I105" s="7">
        <f>SUBTOTAL(109,Table1[ТАРИФА])</f>
        <v>0</v>
      </c>
      <c r="J105" s="7">
        <f>SUBTOTAL(109,Table1[ЕВРО])</f>
        <v>0</v>
      </c>
      <c r="K105" s="7">
        <f>SUBTOTAL(109,Table1[ДОЛАР])</f>
        <v>0</v>
      </c>
      <c r="L105" s="7">
        <f>SUBTOTAL(109,Table1[ЛИРИ])</f>
        <v>0</v>
      </c>
      <c r="M105" s="7">
        <f>SUBTOTAL(109,Table1[ЛЕВА])</f>
        <v>0</v>
      </c>
      <c r="N105" s="7">
        <f>SUBTOTAL(109,Table1[ПОСТЕРМИНАЛ])</f>
        <v>0</v>
      </c>
    </row>
    <row r="107" spans="1:14">
      <c r="I107" t="s">
        <v>22</v>
      </c>
      <c r="J107" s="7" t="s">
        <v>23</v>
      </c>
      <c r="K107" s="7" t="s">
        <v>24</v>
      </c>
      <c r="L107" s="7" t="s">
        <v>25</v>
      </c>
      <c r="M107" s="7" t="s">
        <v>26</v>
      </c>
    </row>
    <row r="108" spans="1:14">
      <c r="I108" s="13"/>
    </row>
    <row r="110" spans="1:14">
      <c r="A110" s="14"/>
      <c r="B110" s="14"/>
      <c r="C110" s="14"/>
      <c r="G110" t="s">
        <v>27</v>
      </c>
      <c r="H110" s="7" t="s">
        <v>28</v>
      </c>
      <c r="I110" s="7" t="s">
        <v>14</v>
      </c>
      <c r="J110" s="7" t="s">
        <v>15</v>
      </c>
      <c r="K110" s="7" t="s">
        <v>16</v>
      </c>
      <c r="L110" s="7" t="s">
        <v>17</v>
      </c>
      <c r="M110" s="7" t="s">
        <v>18</v>
      </c>
      <c r="N110" s="7" t="s">
        <v>29</v>
      </c>
    </row>
    <row r="111" spans="1:14">
      <c r="B111"/>
      <c r="C111"/>
      <c r="G111" t="s">
        <v>30</v>
      </c>
      <c r="H111" s="7">
        <f>COUNT(Table1[ДКН])</f>
        <v>2</v>
      </c>
      <c r="I111" s="7">
        <f>Table1[[#Totals],[ТАРИФА]]</f>
        <v>0</v>
      </c>
      <c r="J111" s="7">
        <f>Table1[[#Totals],[ЕВРО]]</f>
        <v>0</v>
      </c>
      <c r="K111" s="7">
        <f>Table1[[#Totals],[ДОЛАР]]</f>
        <v>0</v>
      </c>
      <c r="L111" s="7">
        <f>Table1[[#Totals],[ЛИРИ]]</f>
        <v>0</v>
      </c>
      <c r="M111" s="7">
        <f>Table1[[#Totals],[ЛЕВА]]</f>
        <v>0</v>
      </c>
      <c r="N111" s="7">
        <f>Table1[[#Totals],[ПОСТЕРМИНАЛ]]</f>
        <v>0</v>
      </c>
    </row>
    <row r="112" spans="1:14">
      <c r="B112"/>
      <c r="C112"/>
      <c r="G112" t="s">
        <v>31</v>
      </c>
      <c r="H112" s="7" t="s">
        <v>32</v>
      </c>
      <c r="I112" s="7" t="s">
        <v>32</v>
      </c>
      <c r="J112" s="7">
        <f>SUM(Table5[EVRO])</f>
        <v>0</v>
      </c>
      <c r="K112" s="7">
        <f>SUM(Table5[DOLAR])</f>
        <v>0</v>
      </c>
      <c r="L112" s="7">
        <f>SUM(Table5[LIRI])</f>
        <v>0</v>
      </c>
      <c r="M112" s="7">
        <f>SUM(Table5[LEVA])</f>
        <v>0</v>
      </c>
      <c r="N112" s="7" t="s">
        <v>32</v>
      </c>
    </row>
    <row r="113" spans="2:14">
      <c r="B113"/>
      <c r="C113"/>
      <c r="G113" t="s">
        <v>33</v>
      </c>
      <c r="H113" s="7" t="s">
        <v>32</v>
      </c>
      <c r="I113" s="7" t="s">
        <v>32</v>
      </c>
      <c r="J113" s="7">
        <f>C124</f>
        <v>0</v>
      </c>
      <c r="K113" s="7" t="s">
        <v>32</v>
      </c>
      <c r="L113" s="7" t="s">
        <v>32</v>
      </c>
      <c r="M113" s="7" t="s">
        <v>32</v>
      </c>
      <c r="N113" s="7" t="s">
        <v>32</v>
      </c>
    </row>
    <row r="114" spans="2:14">
      <c r="B114"/>
      <c r="G114" t="s">
        <v>34</v>
      </c>
      <c r="H114" s="7" t="s">
        <v>32</v>
      </c>
      <c r="I114" s="7">
        <f t="shared" ref="I114" si="5">SUM(I111:I112)</f>
        <v>0</v>
      </c>
      <c r="J114" s="7">
        <f>J111-J112-J113</f>
        <v>0</v>
      </c>
      <c r="K114" s="7">
        <f t="shared" ref="K114:M114" si="6">K111-K112</f>
        <v>0</v>
      </c>
      <c r="L114" s="7">
        <f t="shared" si="6"/>
        <v>0</v>
      </c>
      <c r="M114" s="7">
        <f t="shared" si="6"/>
        <v>0</v>
      </c>
      <c r="N114" s="7">
        <f>SUM(N111:N112)</f>
        <v>0</v>
      </c>
    </row>
    <row r="115" spans="2:14">
      <c r="B115"/>
    </row>
    <row r="116" spans="2:14">
      <c r="B116"/>
    </row>
    <row r="117" spans="2:14">
      <c r="B117"/>
      <c r="I117" s="7" t="s">
        <v>22</v>
      </c>
      <c r="J117" s="7" t="s">
        <v>23</v>
      </c>
      <c r="K117" s="7" t="s">
        <v>24</v>
      </c>
      <c r="L117" s="7" t="s">
        <v>25</v>
      </c>
      <c r="M117" s="7" t="s">
        <v>26</v>
      </c>
    </row>
    <row r="118" spans="2:14">
      <c r="B118"/>
      <c r="I118" s="13"/>
      <c r="J118" s="7">
        <f t="array" ref="J118">J114+Table4[EVRO]</f>
        <v>0</v>
      </c>
      <c r="K118" s="7">
        <f t="array" ref="K118">K114+Table4[DOLARI]</f>
        <v>0</v>
      </c>
      <c r="L118" s="7">
        <f t="array" ref="L118">L114+Table4[LIRI]</f>
        <v>0</v>
      </c>
      <c r="M118" s="7">
        <f t="array" ref="M118">M114+Table4[LEVA]</f>
        <v>0</v>
      </c>
    </row>
    <row r="119" spans="2:14">
      <c r="B119"/>
    </row>
    <row r="120" spans="2:14">
      <c r="B120"/>
    </row>
    <row r="121" spans="2:14">
      <c r="B121"/>
    </row>
    <row r="122" spans="2:14">
      <c r="B122"/>
    </row>
    <row r="123" spans="2:14">
      <c r="B123"/>
    </row>
    <row r="124" spans="2:14">
      <c r="C124" s="15"/>
    </row>
  </sheetData>
  <dataValidations count="3">
    <dataValidation type="date" operator="greaterThan" allowBlank="1" showInputMessage="1" showErrorMessage="1" errorTitle="Въведете дата" error="В тази колона може да се въвеждат единствено дати, например: 01/01/2023._x000a_" sqref="A15:A104">
      <formula1>1</formula1>
    </dataValidation>
    <dataValidation type="decimal" operator="greaterThan" allowBlank="1" showInputMessage="1" showErrorMessage="1" sqref="F15:F104">
      <formula1>0</formula1>
    </dataValidation>
    <dataValidation type="custom" showInputMessage="1" showErrorMessage="1" sqref="G15:G104">
      <formula1>_xlfn.ISFORMULA(G15:G15)=TRUE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New_row" altText="Добави нов ред">
                <anchor moveWithCells="1" sizeWithCells="1">
                  <from>
                    <xdr:col>3</xdr:col>
                    <xdr:colOff>971550</xdr:colOff>
                    <xdr:row>108</xdr:row>
                    <xdr:rowOff>85725</xdr:rowOff>
                  </from>
                  <to>
                    <xdr:col>5</xdr:col>
                    <xdr:colOff>342900</xdr:colOff>
                    <xdr:row>111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Support!$A$52:$A$54</xm:f>
          </x14:formula1>
          <xm:sqref>E15:E104</xm:sqref>
        </x14:dataValidation>
        <x14:dataValidation type="list" allowBlank="1" showInputMessage="1" showErrorMessage="1">
          <x14:formula1>
            <xm:f>Support!$B$52:$B$60</xm:f>
          </x14:formula1>
          <xm:sqref>H15:H104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F7"/>
  <sheetViews>
    <sheetView workbookViewId="0">
      <selection activeCell="F3" sqref="F3"/>
    </sheetView>
  </sheetViews>
  <sheetFormatPr defaultColWidth="11.42578125" defaultRowHeight="15"/>
  <cols>
    <col min="6" max="6" width="31.28515625" customWidth="1"/>
  </cols>
  <sheetData>
    <row r="2" spans="1:6">
      <c r="A2" s="2" t="s">
        <v>6</v>
      </c>
      <c r="B2" s="3" t="s">
        <v>23</v>
      </c>
      <c r="C2" s="3" t="s">
        <v>35</v>
      </c>
      <c r="D2" s="3" t="s">
        <v>25</v>
      </c>
      <c r="E2" s="4" t="s">
        <v>26</v>
      </c>
      <c r="F2" s="3" t="s">
        <v>36</v>
      </c>
    </row>
    <row r="3" spans="1:6">
      <c r="A3" s="5"/>
    </row>
    <row r="4" spans="1:6">
      <c r="A4" s="5"/>
    </row>
    <row r="5" spans="1:6">
      <c r="A5" s="6"/>
    </row>
    <row r="6" spans="1:6">
      <c r="A6" s="6"/>
    </row>
    <row r="7" spans="1:6">
      <c r="A7" s="6"/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Add_New_row_bonus">
                <anchor moveWithCells="1" sizeWithCells="1">
                  <from>
                    <xdr:col>0</xdr:col>
                    <xdr:colOff>209550</xdr:colOff>
                    <xdr:row>9</xdr:row>
                    <xdr:rowOff>57150</xdr:rowOff>
                  </from>
                  <to>
                    <xdr:col>2</xdr:col>
                    <xdr:colOff>466725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0"/>
  <sheetViews>
    <sheetView topLeftCell="A31" workbookViewId="0">
      <selection activeCell="B50" sqref="B50"/>
    </sheetView>
  </sheetViews>
  <sheetFormatPr defaultColWidth="8.85546875" defaultRowHeight="15"/>
  <cols>
    <col min="2" max="2" width="17.85546875" customWidth="1"/>
    <col min="5" max="12" width="10.42578125" customWidth="1"/>
  </cols>
  <sheetData>
    <row r="1" spans="1:2">
      <c r="A1" t="s">
        <v>37</v>
      </c>
    </row>
    <row r="2" spans="1:2">
      <c r="A2" t="s">
        <v>38</v>
      </c>
      <c r="B2" t="s">
        <v>39</v>
      </c>
    </row>
    <row r="3" spans="1:2">
      <c r="A3">
        <v>1.1000000000000001</v>
      </c>
      <c r="B3" t="s">
        <v>40</v>
      </c>
    </row>
    <row r="4" spans="1:2">
      <c r="A4">
        <v>1.2</v>
      </c>
      <c r="B4" t="s">
        <v>41</v>
      </c>
    </row>
    <row r="5" spans="1:2">
      <c r="A5">
        <v>1.3</v>
      </c>
      <c r="B5" t="s">
        <v>42</v>
      </c>
    </row>
    <row r="6" spans="1:2">
      <c r="A6">
        <v>1.4</v>
      </c>
      <c r="B6" t="s">
        <v>43</v>
      </c>
    </row>
    <row r="7" spans="1:2">
      <c r="A7">
        <v>1.5</v>
      </c>
      <c r="B7" t="s">
        <v>44</v>
      </c>
    </row>
    <row r="8" spans="1:2">
      <c r="A8">
        <v>1.6</v>
      </c>
      <c r="B8" t="s">
        <v>45</v>
      </c>
    </row>
    <row r="9" spans="1:2">
      <c r="A9">
        <v>1.7</v>
      </c>
      <c r="B9" s="1" t="s">
        <v>46</v>
      </c>
    </row>
    <row r="10" spans="1:2">
      <c r="A10">
        <v>1.8</v>
      </c>
      <c r="B10" t="s">
        <v>47</v>
      </c>
    </row>
    <row r="11" spans="1:2">
      <c r="A11">
        <v>1.9</v>
      </c>
      <c r="B11" t="s">
        <v>48</v>
      </c>
    </row>
    <row r="12" spans="1:2">
      <c r="A12">
        <v>1.1100000000000001</v>
      </c>
      <c r="B12" t="s">
        <v>49</v>
      </c>
    </row>
    <row r="13" spans="1:2">
      <c r="A13">
        <v>1.1200000000000001</v>
      </c>
      <c r="B13" t="s">
        <v>50</v>
      </c>
    </row>
    <row r="14" spans="1:2">
      <c r="A14">
        <v>1.1299999999999999</v>
      </c>
      <c r="B14" t="s">
        <v>51</v>
      </c>
    </row>
    <row r="15" spans="1:2">
      <c r="A15">
        <v>1.1399999999999999</v>
      </c>
      <c r="B15" t="s">
        <v>52</v>
      </c>
    </row>
    <row r="16" spans="1:2">
      <c r="A16">
        <v>1.1499999999999999</v>
      </c>
      <c r="B16" t="s">
        <v>53</v>
      </c>
    </row>
    <row r="17" spans="1:2">
      <c r="A17">
        <v>1.1599999999999999</v>
      </c>
      <c r="B17" t="s">
        <v>54</v>
      </c>
    </row>
    <row r="18" spans="1:2">
      <c r="A18">
        <v>1.17</v>
      </c>
      <c r="B18" t="s">
        <v>55</v>
      </c>
    </row>
    <row r="19" spans="1:2">
      <c r="A19">
        <v>1.18</v>
      </c>
      <c r="B19" t="s">
        <v>56</v>
      </c>
    </row>
    <row r="20" spans="1:2">
      <c r="A20">
        <v>1.19</v>
      </c>
      <c r="B20" t="s">
        <v>57</v>
      </c>
    </row>
    <row r="21" spans="1:2">
      <c r="A21">
        <v>1.21</v>
      </c>
      <c r="B21" t="s">
        <v>58</v>
      </c>
    </row>
    <row r="22" spans="1:2">
      <c r="A22">
        <v>1.22</v>
      </c>
      <c r="B22" t="s">
        <v>59</v>
      </c>
    </row>
    <row r="23" spans="1:2">
      <c r="A23">
        <v>1.23</v>
      </c>
      <c r="B23" t="s">
        <v>60</v>
      </c>
    </row>
    <row r="24" spans="1:2">
      <c r="A24">
        <v>4.0999999999999996</v>
      </c>
      <c r="B24" t="s">
        <v>61</v>
      </c>
    </row>
    <row r="25" spans="1:2">
      <c r="A25">
        <v>1.25</v>
      </c>
      <c r="B25" t="s">
        <v>62</v>
      </c>
    </row>
    <row r="26" spans="1:2">
      <c r="A26">
        <v>1.26</v>
      </c>
      <c r="B26" t="s">
        <v>63</v>
      </c>
    </row>
    <row r="27" spans="1:2">
      <c r="A27">
        <v>1.27</v>
      </c>
      <c r="B27" t="s">
        <v>64</v>
      </c>
    </row>
    <row r="28" spans="1:2">
      <c r="A28">
        <v>1.28</v>
      </c>
      <c r="B28" s="1" t="s">
        <v>65</v>
      </c>
    </row>
    <row r="29" spans="1:2">
      <c r="A29">
        <v>1.29</v>
      </c>
      <c r="B29" t="s">
        <v>66</v>
      </c>
    </row>
    <row r="30" spans="1:2">
      <c r="A30">
        <v>2.1</v>
      </c>
      <c r="B30" t="s">
        <v>67</v>
      </c>
    </row>
    <row r="31" spans="1:2">
      <c r="A31">
        <v>2.2000000000000002</v>
      </c>
      <c r="B31" t="s">
        <v>68</v>
      </c>
    </row>
    <row r="32" spans="1:2">
      <c r="A32">
        <v>2.21</v>
      </c>
      <c r="B32" t="s">
        <v>69</v>
      </c>
    </row>
    <row r="33" spans="1:2">
      <c r="A33">
        <v>2.2200000000000002</v>
      </c>
      <c r="B33" t="s">
        <v>70</v>
      </c>
    </row>
    <row r="34" spans="1:2">
      <c r="A34">
        <v>2.23</v>
      </c>
      <c r="B34" t="s">
        <v>71</v>
      </c>
    </row>
    <row r="35" spans="1:2">
      <c r="A35">
        <v>2.2400000000000002</v>
      </c>
      <c r="B35" t="s">
        <v>72</v>
      </c>
    </row>
    <row r="36" spans="1:2">
      <c r="A36">
        <v>2.25</v>
      </c>
      <c r="B36" t="s">
        <v>73</v>
      </c>
    </row>
    <row r="37" spans="1:2">
      <c r="A37">
        <v>2.2599999999999998</v>
      </c>
      <c r="B37" t="s">
        <v>74</v>
      </c>
    </row>
    <row r="38" spans="1:2">
      <c r="A38">
        <v>2.27</v>
      </c>
      <c r="B38" t="s">
        <v>75</v>
      </c>
    </row>
    <row r="39" spans="1:2">
      <c r="A39">
        <v>2.2799999999999998</v>
      </c>
      <c r="B39" t="s">
        <v>76</v>
      </c>
    </row>
    <row r="40" spans="1:2">
      <c r="A40">
        <v>3</v>
      </c>
      <c r="B40" s="1" t="s">
        <v>77</v>
      </c>
    </row>
    <row r="41" spans="1:2">
      <c r="A41">
        <v>3.2</v>
      </c>
      <c r="B41" s="1" t="s">
        <v>78</v>
      </c>
    </row>
    <row r="42" spans="1:2">
      <c r="A42">
        <v>3.3</v>
      </c>
      <c r="B42" s="1" t="s">
        <v>79</v>
      </c>
    </row>
    <row r="43" spans="1:2">
      <c r="A43">
        <v>3.4</v>
      </c>
      <c r="B43" s="1" t="s">
        <v>80</v>
      </c>
    </row>
    <row r="44" spans="1:2">
      <c r="A44">
        <v>3.5</v>
      </c>
      <c r="B44" s="1" t="s">
        <v>81</v>
      </c>
    </row>
    <row r="45" spans="1:2">
      <c r="A45">
        <v>3.1</v>
      </c>
      <c r="B45" s="1" t="s">
        <v>82</v>
      </c>
    </row>
    <row r="46" spans="1:2">
      <c r="A46">
        <v>3.6</v>
      </c>
      <c r="B46" s="1" t="s">
        <v>83</v>
      </c>
    </row>
    <row r="47" spans="1:2">
      <c r="A47">
        <v>3.7</v>
      </c>
      <c r="B47" s="1" t="s">
        <v>84</v>
      </c>
    </row>
    <row r="48" spans="1:2">
      <c r="A48">
        <v>3.8</v>
      </c>
      <c r="B48" t="s">
        <v>85</v>
      </c>
    </row>
    <row r="49" spans="1:2">
      <c r="A49">
        <v>3.9</v>
      </c>
      <c r="B49" s="1" t="s">
        <v>86</v>
      </c>
    </row>
    <row r="50" spans="1:2">
      <c r="A50">
        <v>4.0999999999999996</v>
      </c>
      <c r="B50" t="s">
        <v>61</v>
      </c>
    </row>
    <row r="51" spans="1:2">
      <c r="A51" t="s">
        <v>87</v>
      </c>
      <c r="B51" t="s">
        <v>88</v>
      </c>
    </row>
    <row r="52" spans="1:2">
      <c r="A52" t="s">
        <v>89</v>
      </c>
      <c r="B52" t="s">
        <v>13</v>
      </c>
    </row>
    <row r="53" spans="1:2">
      <c r="A53" t="s">
        <v>90</v>
      </c>
      <c r="B53" t="s">
        <v>91</v>
      </c>
    </row>
    <row r="54" spans="1:2">
      <c r="A54" t="s">
        <v>20</v>
      </c>
      <c r="B54" t="s">
        <v>92</v>
      </c>
    </row>
    <row r="55" spans="1:2">
      <c r="B55" t="s">
        <v>93</v>
      </c>
    </row>
    <row r="56" spans="1:2">
      <c r="B56" t="s">
        <v>94</v>
      </c>
    </row>
    <row r="57" spans="1:2">
      <c r="B57" t="s">
        <v>95</v>
      </c>
    </row>
    <row r="58" spans="1:2">
      <c r="B58" t="s">
        <v>96</v>
      </c>
    </row>
    <row r="59" spans="1:2">
      <c r="B59" t="s">
        <v>97</v>
      </c>
    </row>
    <row r="60" spans="1:2">
      <c r="B60" t="s">
        <v>98</v>
      </c>
    </row>
  </sheetData>
  <pageMargins left="0.7" right="0.7" top="0.75" bottom="0.75" header="0.3" footer="0.3"/>
  <pageSetup paperSize="9" orientation="portrait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Работни листове</vt:lpstr>
      </vt:variant>
      <vt:variant>
        <vt:i4>3</vt:i4>
      </vt:variant>
    </vt:vector>
  </HeadingPairs>
  <TitlesOfParts>
    <vt:vector size="3" baseType="lpstr">
      <vt:lpstr>Sheet1</vt:lpstr>
      <vt:lpstr>Razhodi</vt:lpstr>
      <vt:lpstr>Support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Yavor Stoychev</dc:creator>
  <cp:lastModifiedBy>User</cp:lastModifiedBy>
  <dcterms:created xsi:type="dcterms:W3CDTF">2015-06-05T18:17:00Z</dcterms:created>
  <dcterms:modified xsi:type="dcterms:W3CDTF">2026-10-05T16:11:53Z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F422CE273F0B4DCC9C5A329B4CDBFC8A_12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